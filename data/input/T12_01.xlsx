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13_ncr:1_{2812D387-1807-416B-88D0-D1E7CDD4E69B}" xr6:coauthVersionLast="47" xr6:coauthVersionMax="47" xr10:uidLastSave="{00000000-0000-0000-0000-000000000000}"/>
  <bookViews>
    <workbookView xWindow="-98" yWindow="-98" windowWidth="21795" windowHeight="12975" xr2:uid="{F20FC6C8-9F95-4868-8E68-A76DDBA255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</calcChain>
</file>

<file path=xl/sharedStrings.xml><?xml version="1.0" encoding="utf-8"?>
<sst xmlns="http://schemas.openxmlformats.org/spreadsheetml/2006/main" count="161" uniqueCount="160">
  <si>
    <t>SOURCE STATEMENTS</t>
  </si>
  <si>
    <t>Jan 2025 - T12</t>
  </si>
  <si>
    <t>Statement Date "From"</t>
  </si>
  <si>
    <t>Statement Date "To"</t>
  </si>
  <si>
    <t>INCOME</t>
  </si>
  <si>
    <t>Rents</t>
  </si>
  <si>
    <t>Gross Potential Rent</t>
  </si>
  <si>
    <t>Vacancy</t>
  </si>
  <si>
    <t>Model Rent</t>
  </si>
  <si>
    <t>Gain to Old Lease</t>
  </si>
  <si>
    <t>Loss to Old Lease</t>
  </si>
  <si>
    <t>Concession</t>
  </si>
  <si>
    <t>Miscellaneous Adjustments</t>
  </si>
  <si>
    <t>Net Collectable Rents</t>
  </si>
  <si>
    <t>NET DELIQUENTS</t>
  </si>
  <si>
    <t>Bad Debt</t>
  </si>
  <si>
    <t>Total Rents Collected</t>
  </si>
  <si>
    <t>Other Income</t>
  </si>
  <si>
    <t>Forfeiture Income</t>
  </si>
  <si>
    <t>Late Fees</t>
  </si>
  <si>
    <t>NSF Fees</t>
  </si>
  <si>
    <t>Application Fees</t>
  </si>
  <si>
    <t>Leasing Fees</t>
  </si>
  <si>
    <t>Gate Remote Fees</t>
  </si>
  <si>
    <t>Pet Fees</t>
  </si>
  <si>
    <t>M-to-M/Short term lease</t>
  </si>
  <si>
    <t>Dispossessory Fees</t>
  </si>
  <si>
    <t>Cleaning Fees</t>
  </si>
  <si>
    <t>Damages</t>
  </si>
  <si>
    <t>Keys, Locks &amp; Fobs</t>
  </si>
  <si>
    <t>Transfer Fees</t>
  </si>
  <si>
    <t>Water Sewer Collections</t>
  </si>
  <si>
    <t>Termination Fees</t>
  </si>
  <si>
    <t>Interest Income</t>
  </si>
  <si>
    <t>OSP Resident Convenience Fee</t>
  </si>
  <si>
    <t>Total Other Income</t>
  </si>
  <si>
    <t>TOTAL INCOME</t>
  </si>
  <si>
    <t>OPERATING EXPENSE</t>
  </si>
  <si>
    <t>Management Fees</t>
  </si>
  <si>
    <t>Management Fee 5%</t>
  </si>
  <si>
    <t>Total Management Fees</t>
  </si>
  <si>
    <t>Payroll</t>
  </si>
  <si>
    <t>Salaries-Manager</t>
  </si>
  <si>
    <t>Salaries-Leasing Consultants</t>
  </si>
  <si>
    <t>Salaries-Maintenance</t>
  </si>
  <si>
    <t>Porter</t>
  </si>
  <si>
    <t>Bonuses New Lease</t>
  </si>
  <si>
    <t>Bonuses Renewals</t>
  </si>
  <si>
    <t>Bonuses Other</t>
  </si>
  <si>
    <t>Employee Apartment Expense</t>
  </si>
  <si>
    <t>Group Insurance</t>
  </si>
  <si>
    <t>Workers Comp Insurance</t>
  </si>
  <si>
    <t>401KDeduction</t>
  </si>
  <si>
    <t>Emp Loan 401K Deduction</t>
  </si>
  <si>
    <t>401K Company Match</t>
  </si>
  <si>
    <t>Payroll Taxes</t>
  </si>
  <si>
    <t>Unemployment Tax</t>
  </si>
  <si>
    <t>Total Payroll</t>
  </si>
  <si>
    <t>Advertising &amp; Marketing</t>
  </si>
  <si>
    <t>Advertising-Outdoor</t>
  </si>
  <si>
    <t>Advertising-Website</t>
  </si>
  <si>
    <t>Apartment Locator Fee</t>
  </si>
  <si>
    <t>Credit Check Expense</t>
  </si>
  <si>
    <t>Leasing Office Refreshments</t>
  </si>
  <si>
    <t>Miscellaneous Leasing</t>
  </si>
  <si>
    <t>Move-in Gifts/Mini Models</t>
  </si>
  <si>
    <t>Referral Fees</t>
  </si>
  <si>
    <t>Total Advertising &amp; Marketing</t>
  </si>
  <si>
    <t>Office &amp; Administrative</t>
  </si>
  <si>
    <t>Answering Service</t>
  </si>
  <si>
    <t>Bank Charges</t>
  </si>
  <si>
    <t>Computer Software &amp; Support</t>
  </si>
  <si>
    <t>Courtesy Patrol</t>
  </si>
  <si>
    <t>Dues &amp; Subscriptions</t>
  </si>
  <si>
    <t>Equipment Supplies &amp; Repairs</t>
  </si>
  <si>
    <t>Eviction Expense</t>
  </si>
  <si>
    <t>Internet Expenses</t>
  </si>
  <si>
    <t>Legal &amp; Accounting</t>
  </si>
  <si>
    <t>Licences &amp; Fees</t>
  </si>
  <si>
    <t>Office &amp; Equipment</t>
  </si>
  <si>
    <t>Office Expense</t>
  </si>
  <si>
    <t>Office Forms &amp; Printing</t>
  </si>
  <si>
    <t>Office Supplies</t>
  </si>
  <si>
    <t>Personnel Training</t>
  </si>
  <si>
    <t>Postage/Courier</t>
  </si>
  <si>
    <t>Security Monitoring Services</t>
  </si>
  <si>
    <t>Onesite Program</t>
  </si>
  <si>
    <t>Total Office &amp; Administrative</t>
  </si>
  <si>
    <t>Utilities</t>
  </si>
  <si>
    <t>Electricity - Common</t>
  </si>
  <si>
    <t>Electricity-Vacants</t>
  </si>
  <si>
    <t>Gas - Vacant</t>
  </si>
  <si>
    <t>Solid Waste Disposal Tax</t>
  </si>
  <si>
    <t>Telephone</t>
  </si>
  <si>
    <t>Trash Removal</t>
  </si>
  <si>
    <t>Water &amp; Sewer</t>
  </si>
  <si>
    <t>Total Utilities</t>
  </si>
  <si>
    <t>Maintenance &amp; Repair</t>
  </si>
  <si>
    <t>Appliance Parts</t>
  </si>
  <si>
    <t>Blind Repair</t>
  </si>
  <si>
    <t>Building Repair</t>
  </si>
  <si>
    <t>Carpentry &amp; Fencing Materials</t>
  </si>
  <si>
    <t>Carpet Clean Renewals</t>
  </si>
  <si>
    <t>Carpet Clean Vacants</t>
  </si>
  <si>
    <t>Carpet Clean - Office/Model</t>
  </si>
  <si>
    <t>Carpet Repair/Dye</t>
  </si>
  <si>
    <t>Contract Clean Vacants</t>
  </si>
  <si>
    <t>Contract Clean Office/Club</t>
  </si>
  <si>
    <t>Contract Refinishing</t>
  </si>
  <si>
    <t>Electrical Fixtures</t>
  </si>
  <si>
    <t>Electrical Parts &amp; Supplies</t>
  </si>
  <si>
    <t>Electrical Repairs</t>
  </si>
  <si>
    <t>Exterminating</t>
  </si>
  <si>
    <t>Fitness Center</t>
  </si>
  <si>
    <t>Gate Maintenance</t>
  </si>
  <si>
    <t>Gate Remote</t>
  </si>
  <si>
    <t>General Maintenance</t>
  </si>
  <si>
    <t>Gutters &amp; Downspouts</t>
  </si>
  <si>
    <t>A/C Filters</t>
  </si>
  <si>
    <t>Freon</t>
  </si>
  <si>
    <t>HVAC Parts &amp; Supplies</t>
  </si>
  <si>
    <t>HVAC Repair/Maintenance</t>
  </si>
  <si>
    <t>Interior Repair</t>
  </si>
  <si>
    <t>Janitorial Supplies</t>
  </si>
  <si>
    <t>Fertilization Pest Control</t>
  </si>
  <si>
    <t>Landscaping Annuals</t>
  </si>
  <si>
    <t>Landscape Maintenance Supplies</t>
  </si>
  <si>
    <t>Landscape Supplies</t>
  </si>
  <si>
    <t>Light Bulbs &amp; Flourescents</t>
  </si>
  <si>
    <t>Locks &amp; Keys</t>
  </si>
  <si>
    <t>Maintenance Supplies</t>
  </si>
  <si>
    <t>Mirrors</t>
  </si>
  <si>
    <t>Painting-Clubhouse</t>
  </si>
  <si>
    <t>Painting-Exterior</t>
  </si>
  <si>
    <t>Painting-Supplies</t>
  </si>
  <si>
    <t>Painting-Vacants</t>
  </si>
  <si>
    <t>Parking Lot / Concrete Repair</t>
  </si>
  <si>
    <t>Plumbing Contractor</t>
  </si>
  <si>
    <t>Plumbing Fixtures</t>
  </si>
  <si>
    <t>Plumbing Parts &amp; Supplies</t>
  </si>
  <si>
    <t>Pool Chemicals</t>
  </si>
  <si>
    <t>Pool Equipment &amp; Supplies</t>
  </si>
  <si>
    <t>Pool Service/Repair</t>
  </si>
  <si>
    <t>Roof Repair</t>
  </si>
  <si>
    <t>Sprinkler Repairs/Inspections</t>
  </si>
  <si>
    <t>Tools &amp; Equipment &amp; Rental</t>
  </si>
  <si>
    <t>Uniforms</t>
  </si>
  <si>
    <t>Wall/Ceiling Repairs</t>
  </si>
  <si>
    <t>Security Alarm Repairs</t>
  </si>
  <si>
    <t>Water/Sewer Mains</t>
  </si>
  <si>
    <t>Window/Glass Screens</t>
  </si>
  <si>
    <t>Fire Inspections/Alarm Repairs</t>
  </si>
  <si>
    <t>Total Maintenance &amp; Repair</t>
  </si>
  <si>
    <t>RE Tax &amp; Insurance</t>
  </si>
  <si>
    <t>General Liab/Emp Risk</t>
  </si>
  <si>
    <t>Real Estate Taxes</t>
  </si>
  <si>
    <t>Property Insurance</t>
  </si>
  <si>
    <t>Total RE Tax &amp; Insurance</t>
  </si>
  <si>
    <t>TOTAL OPERATING EXPENSE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</si>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</sst>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" fontId="2" fillId="3" borderId="2" xfId="0" applyNumberFormat="1" applyFont="1" applyFill="1" applyBorder="1" applyAlignment="1">
      <alignment horizontal="center"/>
    </xf>
    <xf numFmtId="0" fontId="2" fillId="2" borderId="3" xfId="0" applyFont="1" applyFill="1" applyBorder="1"/>
    <xf numFmtId="15" fontId="2" fillId="3" borderId="4" xfId="0" applyNumberFormat="1" applyFont="1" applyFill="1" applyBorder="1" applyAlignment="1">
      <alignment horizontal="center"/>
    </xf>
    <xf numFmtId="0" fontId="2" fillId="2" borderId="5" xfId="0" applyFont="1" applyFill="1" applyBorder="1"/>
    <xf numFmtId="15" fontId="2" fillId="3" borderId="6" xfId="0" applyNumberFormat="1" applyFont="1" applyFill="1" applyBorder="1" applyAlignment="1">
      <alignment horizontal="center"/>
    </xf>
    <xf numFmtId="0" fontId="2" fillId="3" borderId="7" xfId="0" applyFont="1" applyFill="1" applyBorder="1"/>
    <xf numFmtId="0" fontId="2" fillId="3" borderId="4" xfId="0" applyFont="1" applyFill="1" applyBorder="1"/>
    <xf numFmtId="164" fontId="2" fillId="3" borderId="4" xfId="0" applyNumberFormat="1" applyFont="1" applyFill="1" applyBorder="1"/>
    <xf numFmtId="0" fontId="3" fillId="3" borderId="2" xfId="0" applyFont="1" applyFill="1" applyBorder="1" applyAlignment="1">
      <alignment horizontal="center" wrapText="1"/>
    </xf>
    <xf numFmtId="15" fontId="3" fillId="3" borderId="4" xfId="0" applyNumberFormat="1" applyFont="1" applyFill="1" applyBorder="1" applyAlignment="1">
      <alignment horizontal="center"/>
    </xf>
    <xf numFmtId="8" fontId="3" fillId="3" borderId="4" xfId="0" applyNumberFormat="1" applyFont="1" applyFill="1" applyBorder="1"/>
    <xf numFmtId="0" fontId="3" fillId="3" borderId="4" xfId="0" applyFont="1" applyFill="1" applyBorder="1"/>
    <xf numFmtId="0" fontId="2" fillId="3" borderId="3" xfId="0" applyFont="1" applyFill="1" applyBorder="1"/>
    <xf numFmtId="15" fontId="3" fillId="3" borderId="6" xfId="0" applyNumberFormat="1" applyFont="1" applyFill="1" applyBorder="1" applyAlignment="1">
      <alignment horizontal="center"/>
    </xf>
    <xf numFmtId="164" fontId="3" fillId="3" borderId="4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AD0C-9A5B-409E-BC3B-460AA9B249CF}">
  <dimension ref="A1:O219"/>
  <sheetViews>
    <sheetView tabSelected="1" zoomScaleNormal="100" workbookViewId="0">
      <selection activeCell="C13" sqref="C13"/>
    </sheetView>
  </sheetViews>
  <sheetFormatPr defaultRowHeight="14.25" x14ac:dyDescent="0.45"/>
  <cols>
    <col min="1" max="1" width="29.3984375" bestFit="1" customWidth="1"/>
    <col min="2" max="2" width="11.73046875" bestFit="1" customWidth="1"/>
    <col min="3" max="3" width="12.265625" bestFit="1" customWidth="1"/>
    <col min="4" max="5" width="11.73046875" bestFit="1" customWidth="1"/>
    <col min="6" max="6" width="12.265625" bestFit="1" customWidth="1"/>
    <col min="7" max="11" width="11.73046875" bestFit="1" customWidth="1"/>
    <col min="12" max="12" width="12.265625" bestFit="1" customWidth="1"/>
    <col min="13" max="13" width="11.73046875" bestFit="1" customWidth="1"/>
    <col min="14" max="14" width="13.3984375" bestFit="1" customWidth="1"/>
    <col min="15" max="15" width="12.73046875" bestFit="1" customWidth="1"/>
  </cols>
  <sheetData>
    <row r="1" spans="1:15" ht="35.25" x14ac:dyDescent="0.5">
      <c r="A1" s="1" t="s">
        <v>0</v>
      </c>
      <c r="B1" s="2">
        <v>45712</v>
      </c>
      <c r="C1" s="2">
        <v>45740</v>
      </c>
      <c r="D1" s="2">
        <v>45771</v>
      </c>
      <c r="E1" s="2">
        <v>45801</v>
      </c>
      <c r="F1" s="2">
        <v>45832</v>
      </c>
      <c r="G1" s="2">
        <v>45862</v>
      </c>
      <c r="H1" s="2">
        <v>45893</v>
      </c>
      <c r="I1" s="2">
        <v>45924</v>
      </c>
      <c r="J1" s="2">
        <v>45954</v>
      </c>
      <c r="K1" s="2">
        <v>45985</v>
      </c>
      <c r="L1" s="2">
        <v>46015</v>
      </c>
      <c r="M1" s="2">
        <v>45682</v>
      </c>
      <c r="N1" s="10" t="s">
        <v>1</v>
      </c>
    </row>
    <row r="2" spans="1:15" x14ac:dyDescent="0.45">
      <c r="A2" s="3" t="s">
        <v>2</v>
      </c>
      <c r="B2" s="4">
        <v>45323</v>
      </c>
      <c r="C2" s="4">
        <v>45352</v>
      </c>
      <c r="D2" s="4">
        <v>45383</v>
      </c>
      <c r="E2" s="4">
        <v>45413</v>
      </c>
      <c r="F2" s="4">
        <v>45444</v>
      </c>
      <c r="G2" s="4">
        <v>45474</v>
      </c>
      <c r="H2" s="4">
        <v>45505</v>
      </c>
      <c r="I2" s="4">
        <v>45536</v>
      </c>
      <c r="J2" s="4">
        <v>45566</v>
      </c>
      <c r="K2" s="4">
        <v>45597</v>
      </c>
      <c r="L2" s="4">
        <v>45627</v>
      </c>
      <c r="M2" s="4">
        <v>45658</v>
      </c>
      <c r="N2" s="11">
        <v>45323</v>
      </c>
    </row>
    <row r="3" spans="1:15" ht="14.65" thickBot="1" x14ac:dyDescent="0.5">
      <c r="A3" s="5" t="s">
        <v>3</v>
      </c>
      <c r="B3" s="6">
        <v>45351</v>
      </c>
      <c r="C3" s="6">
        <v>45382</v>
      </c>
      <c r="D3" s="6">
        <v>45412</v>
      </c>
      <c r="E3" s="6">
        <v>45443</v>
      </c>
      <c r="F3" s="6">
        <v>45473</v>
      </c>
      <c r="G3" s="6">
        <v>45504</v>
      </c>
      <c r="H3" s="6">
        <v>45535</v>
      </c>
      <c r="I3" s="6">
        <v>45565</v>
      </c>
      <c r="J3" s="6">
        <v>45596</v>
      </c>
      <c r="K3" s="6">
        <v>45626</v>
      </c>
      <c r="L3" s="6">
        <v>45657</v>
      </c>
      <c r="M3" s="6">
        <v>45688</v>
      </c>
      <c r="N3" s="15">
        <v>45688</v>
      </c>
    </row>
    <row r="4" spans="1:15" x14ac:dyDescent="0.45">
      <c r="A4" s="14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2"/>
    </row>
    <row r="5" spans="1:15" x14ac:dyDescent="0.4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3"/>
    </row>
    <row r="6" spans="1:15" x14ac:dyDescent="0.45">
      <c r="A6" s="7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2"/>
    </row>
    <row r="7" spans="1:15" x14ac:dyDescent="0.45">
      <c r="A7" s="7" t="s">
        <v>6</v>
      </c>
      <c r="B7" s="9">
        <v>331010</v>
      </c>
      <c r="C7" s="9">
        <v>331010</v>
      </c>
      <c r="D7" s="9">
        <v>331010</v>
      </c>
      <c r="E7" s="9">
        <v>331010</v>
      </c>
      <c r="F7" s="9">
        <v>331010</v>
      </c>
      <c r="G7" s="9">
        <v>331010</v>
      </c>
      <c r="H7" s="9">
        <v>331010</v>
      </c>
      <c r="I7" s="9">
        <v>331010</v>
      </c>
      <c r="J7" s="9">
        <v>331010</v>
      </c>
      <c r="K7" s="9">
        <v>331060</v>
      </c>
      <c r="L7" s="9">
        <v>331060</v>
      </c>
      <c r="M7" s="9">
        <v>331060</v>
      </c>
      <c r="N7" s="16">
        <v>3972270</v>
      </c>
      <c r="O7" s="17"/>
    </row>
    <row r="8" spans="1:15" x14ac:dyDescent="0.45">
      <c r="A8" s="7" t="s">
        <v>7</v>
      </c>
      <c r="B8" s="9">
        <v>-18558</v>
      </c>
      <c r="C8" s="9">
        <v>-18429</v>
      </c>
      <c r="D8" s="9">
        <v>-16860</v>
      </c>
      <c r="E8" s="9">
        <v>-15396</v>
      </c>
      <c r="F8" s="9">
        <v>-22211</v>
      </c>
      <c r="G8" s="9">
        <v>-19885</v>
      </c>
      <c r="H8" s="9">
        <v>-17104</v>
      </c>
      <c r="I8" s="9">
        <v>-14392</v>
      </c>
      <c r="J8" s="9">
        <v>-12123.63</v>
      </c>
      <c r="K8" s="9">
        <v>-15964.66</v>
      </c>
      <c r="L8" s="9">
        <v>-16230.97</v>
      </c>
      <c r="M8" s="9">
        <v>-14335.97</v>
      </c>
      <c r="N8" s="16">
        <v>-201490.23</v>
      </c>
      <c r="O8" s="17"/>
    </row>
    <row r="9" spans="1:15" x14ac:dyDescent="0.45">
      <c r="A9" s="7" t="s">
        <v>8</v>
      </c>
      <c r="B9" s="9">
        <v>-1825</v>
      </c>
      <c r="C9" s="9">
        <v>-1825</v>
      </c>
      <c r="D9" s="9">
        <v>-1825</v>
      </c>
      <c r="E9" s="9">
        <v>-1825</v>
      </c>
      <c r="F9" s="9">
        <v>-1825</v>
      </c>
      <c r="G9" s="9">
        <v>-1825</v>
      </c>
      <c r="H9" s="9">
        <v>-1825</v>
      </c>
      <c r="I9" s="9">
        <v>-1825</v>
      </c>
      <c r="J9" s="9">
        <v>-1825</v>
      </c>
      <c r="K9" s="9">
        <v>-1825</v>
      </c>
      <c r="L9" s="9">
        <v>-1825</v>
      </c>
      <c r="M9" s="9">
        <v>-1825</v>
      </c>
      <c r="N9" s="16">
        <v>-21900</v>
      </c>
      <c r="O9" s="17"/>
    </row>
    <row r="10" spans="1:15" x14ac:dyDescent="0.45">
      <c r="A10" s="7" t="s">
        <v>9</v>
      </c>
      <c r="B10" s="9">
        <v>190</v>
      </c>
      <c r="C10" s="9">
        <v>190</v>
      </c>
      <c r="D10" s="9">
        <v>210</v>
      </c>
      <c r="E10" s="9">
        <v>170</v>
      </c>
      <c r="F10" s="9">
        <v>120</v>
      </c>
      <c r="G10" s="9">
        <v>120</v>
      </c>
      <c r="H10" s="9">
        <v>70</v>
      </c>
      <c r="I10" s="9">
        <v>70</v>
      </c>
      <c r="J10" s="9">
        <v>126.95</v>
      </c>
      <c r="K10" s="9">
        <v>0</v>
      </c>
      <c r="L10" s="9">
        <v>0</v>
      </c>
      <c r="M10" s="9">
        <v>0</v>
      </c>
      <c r="N10" s="16">
        <v>1266.95</v>
      </c>
      <c r="O10" s="17"/>
    </row>
    <row r="11" spans="1:15" x14ac:dyDescent="0.45">
      <c r="A11" s="7" t="s">
        <v>10</v>
      </c>
      <c r="B11" s="9">
        <v>-6366</v>
      </c>
      <c r="C11" s="9">
        <v>-6781</v>
      </c>
      <c r="D11" s="9">
        <v>-7151</v>
      </c>
      <c r="E11" s="9">
        <v>-7544</v>
      </c>
      <c r="F11" s="9">
        <v>-7889</v>
      </c>
      <c r="G11" s="9">
        <v>-9170</v>
      </c>
      <c r="H11" s="9">
        <v>-10541</v>
      </c>
      <c r="I11" s="9">
        <v>-11566</v>
      </c>
      <c r="J11" s="9">
        <v>-11887.52</v>
      </c>
      <c r="K11" s="9">
        <v>-11856.33</v>
      </c>
      <c r="L11" s="9">
        <v>-11838.06</v>
      </c>
      <c r="M11" s="9">
        <v>-11780.97</v>
      </c>
      <c r="N11" s="16">
        <v>-114370.88</v>
      </c>
      <c r="O11" s="17"/>
    </row>
    <row r="12" spans="1:15" x14ac:dyDescent="0.45">
      <c r="A12" s="7" t="s">
        <v>11</v>
      </c>
      <c r="B12" s="9">
        <v>-3775</v>
      </c>
      <c r="C12" s="9">
        <v>-3782.16</v>
      </c>
      <c r="D12" s="9">
        <v>-4323.66</v>
      </c>
      <c r="E12" s="9">
        <v>-3222.85</v>
      </c>
      <c r="F12" s="9">
        <v>-2873.01</v>
      </c>
      <c r="G12" s="9">
        <v>-2986.17</v>
      </c>
      <c r="H12" s="9">
        <v>-3012.46</v>
      </c>
      <c r="I12" s="9">
        <v>-5164.1000000000004</v>
      </c>
      <c r="J12" s="9">
        <v>-907.83</v>
      </c>
      <c r="K12" s="9">
        <v>-150</v>
      </c>
      <c r="L12" s="9">
        <v>-400</v>
      </c>
      <c r="M12" s="9">
        <v>-1160</v>
      </c>
      <c r="N12" s="16">
        <v>-31757.24</v>
      </c>
      <c r="O12" s="17"/>
    </row>
    <row r="13" spans="1:15" x14ac:dyDescent="0.45">
      <c r="A13" s="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6"/>
      <c r="O13" s="17"/>
    </row>
    <row r="14" spans="1:15" x14ac:dyDescent="0.45">
      <c r="A14" s="7" t="s">
        <v>12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-6.21</v>
      </c>
      <c r="K14" s="9">
        <v>0</v>
      </c>
      <c r="L14" s="9">
        <v>-100</v>
      </c>
      <c r="M14" s="9">
        <v>0</v>
      </c>
      <c r="N14" s="16">
        <f>-106.21</f>
        <v>-106.21</v>
      </c>
      <c r="O14" s="17"/>
    </row>
    <row r="15" spans="1:15" x14ac:dyDescent="0.45">
      <c r="A15" s="7" t="s">
        <v>13</v>
      </c>
      <c r="B15" s="9">
        <v>300676</v>
      </c>
      <c r="C15" s="9">
        <v>300382.84000000003</v>
      </c>
      <c r="D15" s="9">
        <v>301060.34000000003</v>
      </c>
      <c r="E15" s="9">
        <v>303192.15000000002</v>
      </c>
      <c r="F15" s="9">
        <v>296331.99</v>
      </c>
      <c r="G15" s="9">
        <v>297263.83</v>
      </c>
      <c r="H15" s="9">
        <v>298597.53999999998</v>
      </c>
      <c r="I15" s="9">
        <v>298132.90000000002</v>
      </c>
      <c r="J15" s="9">
        <v>304386.76</v>
      </c>
      <c r="K15" s="9">
        <v>301264.01</v>
      </c>
      <c r="L15" s="9">
        <v>300665.96999999997</v>
      </c>
      <c r="M15" s="9">
        <v>301958.06</v>
      </c>
      <c r="N15" s="16">
        <v>3603912.39</v>
      </c>
      <c r="O15" s="17"/>
    </row>
    <row r="16" spans="1:15" x14ac:dyDescent="0.45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6"/>
      <c r="O16" s="17"/>
    </row>
    <row r="17" spans="1:15" x14ac:dyDescent="0.45">
      <c r="A17" s="7" t="s">
        <v>14</v>
      </c>
      <c r="B17" s="9">
        <v>-3101.75</v>
      </c>
      <c r="C17" s="9">
        <v>3527.19</v>
      </c>
      <c r="D17" s="9">
        <v>2350.08</v>
      </c>
      <c r="E17" s="9">
        <v>-1391.67</v>
      </c>
      <c r="F17" s="9">
        <v>-19.239999999999998</v>
      </c>
      <c r="G17" s="9">
        <v>366.89</v>
      </c>
      <c r="H17" s="9">
        <v>-114.34</v>
      </c>
      <c r="I17" s="9">
        <v>866.97</v>
      </c>
      <c r="J17" s="9">
        <v>-374.84</v>
      </c>
      <c r="K17" s="9">
        <v>-3035.8</v>
      </c>
      <c r="L17" s="9">
        <v>101.94</v>
      </c>
      <c r="M17" s="9">
        <v>-2732.99</v>
      </c>
      <c r="N17" s="16">
        <v>-3557.56</v>
      </c>
      <c r="O17" s="17"/>
    </row>
    <row r="18" spans="1:15" x14ac:dyDescent="0.45">
      <c r="A18" s="7" t="s">
        <v>15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16">
        <v>0</v>
      </c>
      <c r="O18" s="17"/>
    </row>
    <row r="19" spans="1:15" x14ac:dyDescent="0.45">
      <c r="A19" s="7" t="s">
        <v>16</v>
      </c>
      <c r="B19" s="9">
        <v>297574.25</v>
      </c>
      <c r="C19" s="9">
        <v>303910.03000000003</v>
      </c>
      <c r="D19" s="9">
        <v>303410.42</v>
      </c>
      <c r="E19" s="9">
        <v>301800.48</v>
      </c>
      <c r="F19" s="9">
        <v>296312.75</v>
      </c>
      <c r="G19" s="9">
        <v>297630.71999999997</v>
      </c>
      <c r="H19" s="9">
        <v>298483.20000000001</v>
      </c>
      <c r="I19" s="9">
        <v>298999.87</v>
      </c>
      <c r="J19" s="9">
        <v>304011.92</v>
      </c>
      <c r="K19" s="9">
        <v>298228.21000000002</v>
      </c>
      <c r="L19" s="9">
        <v>300767.90999999997</v>
      </c>
      <c r="M19" s="9">
        <v>299225.07</v>
      </c>
      <c r="N19" s="16">
        <v>3600354.83</v>
      </c>
      <c r="O19" s="17"/>
    </row>
    <row r="20" spans="1:15" x14ac:dyDescent="0.45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6"/>
      <c r="O20" s="17"/>
    </row>
    <row r="21" spans="1:15" x14ac:dyDescent="0.45">
      <c r="A21" s="7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6"/>
      <c r="O21" s="17"/>
    </row>
    <row r="22" spans="1:15" x14ac:dyDescent="0.45">
      <c r="A22" s="7" t="s">
        <v>18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300</v>
      </c>
      <c r="M22" s="9">
        <v>0</v>
      </c>
      <c r="N22" s="16">
        <v>300</v>
      </c>
      <c r="O22" s="17"/>
    </row>
    <row r="23" spans="1:15" x14ac:dyDescent="0.45">
      <c r="A23" s="7" t="s">
        <v>19</v>
      </c>
      <c r="B23" s="9">
        <v>700</v>
      </c>
      <c r="C23" s="9">
        <v>600</v>
      </c>
      <c r="D23" s="9">
        <v>500</v>
      </c>
      <c r="E23" s="9">
        <v>500</v>
      </c>
      <c r="F23" s="9">
        <v>800</v>
      </c>
      <c r="G23" s="9">
        <v>600</v>
      </c>
      <c r="H23" s="9">
        <v>800</v>
      </c>
      <c r="I23" s="9">
        <v>600</v>
      </c>
      <c r="J23" s="9">
        <v>200</v>
      </c>
      <c r="K23" s="9">
        <v>1000</v>
      </c>
      <c r="L23" s="9">
        <v>500</v>
      </c>
      <c r="M23" s="9">
        <v>800</v>
      </c>
      <c r="N23" s="16">
        <v>7600</v>
      </c>
      <c r="O23" s="17"/>
    </row>
    <row r="24" spans="1:15" x14ac:dyDescent="0.45">
      <c r="A24" s="7" t="s">
        <v>20</v>
      </c>
      <c r="B24" s="9">
        <v>100</v>
      </c>
      <c r="C24" s="9">
        <v>200</v>
      </c>
      <c r="D24" s="9">
        <v>100</v>
      </c>
      <c r="E24" s="9">
        <v>100</v>
      </c>
      <c r="F24" s="9">
        <v>100</v>
      </c>
      <c r="G24" s="9">
        <v>100</v>
      </c>
      <c r="H24" s="9">
        <v>200</v>
      </c>
      <c r="I24" s="9">
        <v>200</v>
      </c>
      <c r="J24" s="9">
        <v>0</v>
      </c>
      <c r="K24" s="9">
        <v>300</v>
      </c>
      <c r="L24" s="9">
        <v>0</v>
      </c>
      <c r="M24" s="9">
        <v>300</v>
      </c>
      <c r="N24" s="16">
        <v>1700</v>
      </c>
      <c r="O24" s="17"/>
    </row>
    <row r="25" spans="1:15" x14ac:dyDescent="0.45">
      <c r="A25" s="7" t="s">
        <v>21</v>
      </c>
      <c r="B25" s="9">
        <v>225</v>
      </c>
      <c r="C25" s="9">
        <v>200</v>
      </c>
      <c r="D25" s="9">
        <v>225</v>
      </c>
      <c r="E25" s="9">
        <v>1100</v>
      </c>
      <c r="F25" s="9">
        <v>1350</v>
      </c>
      <c r="G25" s="9">
        <v>875</v>
      </c>
      <c r="H25" s="9">
        <v>300</v>
      </c>
      <c r="I25" s="9">
        <v>347.5</v>
      </c>
      <c r="J25" s="9">
        <v>152.5</v>
      </c>
      <c r="K25" s="9">
        <v>300</v>
      </c>
      <c r="L25" s="9">
        <v>375</v>
      </c>
      <c r="M25" s="9">
        <v>75</v>
      </c>
      <c r="N25" s="16">
        <v>5525</v>
      </c>
      <c r="O25" s="17"/>
    </row>
    <row r="26" spans="1:15" x14ac:dyDescent="0.45">
      <c r="A26" s="7" t="s">
        <v>22</v>
      </c>
      <c r="B26" s="9">
        <v>0</v>
      </c>
      <c r="C26" s="9">
        <v>0</v>
      </c>
      <c r="D26" s="9">
        <v>200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200</v>
      </c>
      <c r="K26" s="9">
        <v>200</v>
      </c>
      <c r="L26" s="9">
        <v>200</v>
      </c>
      <c r="M26" s="9">
        <v>0</v>
      </c>
      <c r="N26" s="16">
        <v>800</v>
      </c>
      <c r="O26" s="17"/>
    </row>
    <row r="27" spans="1:15" x14ac:dyDescent="0.45">
      <c r="A27" s="7" t="s">
        <v>23</v>
      </c>
      <c r="B27" s="9">
        <v>75</v>
      </c>
      <c r="C27" s="9">
        <v>150</v>
      </c>
      <c r="D27" s="9">
        <v>450</v>
      </c>
      <c r="E27" s="9">
        <v>100</v>
      </c>
      <c r="F27" s="9">
        <v>741.64</v>
      </c>
      <c r="G27" s="9">
        <v>634</v>
      </c>
      <c r="H27" s="9">
        <v>1281</v>
      </c>
      <c r="I27" s="9">
        <v>375</v>
      </c>
      <c r="J27" s="9">
        <v>150</v>
      </c>
      <c r="K27" s="9">
        <v>150</v>
      </c>
      <c r="L27" s="9">
        <v>300</v>
      </c>
      <c r="M27" s="9">
        <v>75</v>
      </c>
      <c r="N27" s="16">
        <v>4481.6400000000003</v>
      </c>
      <c r="O27" s="17"/>
    </row>
    <row r="28" spans="1:15" x14ac:dyDescent="0.45">
      <c r="A28" s="7" t="s">
        <v>24</v>
      </c>
      <c r="B28" s="9">
        <v>0</v>
      </c>
      <c r="C28" s="9">
        <v>0</v>
      </c>
      <c r="D28" s="9">
        <v>0</v>
      </c>
      <c r="E28" s="9">
        <v>250</v>
      </c>
      <c r="F28" s="9">
        <v>0</v>
      </c>
      <c r="G28" s="9">
        <v>150</v>
      </c>
      <c r="H28" s="9">
        <v>150</v>
      </c>
      <c r="I28" s="9">
        <v>0</v>
      </c>
      <c r="J28" s="9">
        <v>250</v>
      </c>
      <c r="K28" s="9">
        <v>150</v>
      </c>
      <c r="L28" s="9">
        <v>150</v>
      </c>
      <c r="M28" s="9">
        <v>250</v>
      </c>
      <c r="N28" s="16">
        <v>1350</v>
      </c>
      <c r="O28" s="17"/>
    </row>
    <row r="29" spans="1:15" x14ac:dyDescent="0.45">
      <c r="A29" s="7" t="s">
        <v>25</v>
      </c>
      <c r="B29" s="9">
        <v>0</v>
      </c>
      <c r="C29" s="9">
        <v>0</v>
      </c>
      <c r="D29" s="9">
        <v>150</v>
      </c>
      <c r="E29" s="9">
        <v>150</v>
      </c>
      <c r="F29" s="9">
        <v>0</v>
      </c>
      <c r="G29" s="9">
        <v>0</v>
      </c>
      <c r="H29" s="9">
        <v>0</v>
      </c>
      <c r="I29" s="9">
        <v>0</v>
      </c>
      <c r="J29" s="9">
        <v>250</v>
      </c>
      <c r="K29" s="9">
        <v>150</v>
      </c>
      <c r="L29" s="9">
        <v>0</v>
      </c>
      <c r="M29" s="9">
        <v>150</v>
      </c>
      <c r="N29" s="16">
        <v>850</v>
      </c>
      <c r="O29" s="17"/>
    </row>
    <row r="30" spans="1:15" x14ac:dyDescent="0.45">
      <c r="A30" s="7" t="s">
        <v>26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16">
        <v>0</v>
      </c>
      <c r="O30" s="17"/>
    </row>
    <row r="31" spans="1:15" x14ac:dyDescent="0.45">
      <c r="A31" s="7" t="s">
        <v>27</v>
      </c>
      <c r="B31" s="9">
        <v>0</v>
      </c>
      <c r="C31" s="9">
        <v>0</v>
      </c>
      <c r="D31" s="9">
        <v>95</v>
      </c>
      <c r="E31" s="9">
        <v>0</v>
      </c>
      <c r="F31" s="9">
        <v>0</v>
      </c>
      <c r="G31" s="9">
        <v>0</v>
      </c>
      <c r="H31" s="9">
        <v>195</v>
      </c>
      <c r="I31" s="9">
        <v>95</v>
      </c>
      <c r="J31" s="9">
        <v>0</v>
      </c>
      <c r="K31" s="9">
        <v>0</v>
      </c>
      <c r="L31" s="9">
        <v>0</v>
      </c>
      <c r="M31" s="9">
        <v>0</v>
      </c>
      <c r="N31" s="16">
        <v>385</v>
      </c>
      <c r="O31" s="17"/>
    </row>
    <row r="32" spans="1:15" x14ac:dyDescent="0.45">
      <c r="A32" s="7" t="s">
        <v>28</v>
      </c>
      <c r="B32" s="9">
        <v>0</v>
      </c>
      <c r="C32" s="9">
        <v>0</v>
      </c>
      <c r="D32" s="9">
        <v>467.16</v>
      </c>
      <c r="E32" s="9">
        <v>60.27</v>
      </c>
      <c r="F32" s="9">
        <v>160.26</v>
      </c>
      <c r="G32" s="9">
        <v>272.04000000000002</v>
      </c>
      <c r="H32" s="9">
        <v>2317.91</v>
      </c>
      <c r="I32" s="9">
        <v>193.26</v>
      </c>
      <c r="J32" s="9">
        <v>100</v>
      </c>
      <c r="K32" s="9">
        <v>160</v>
      </c>
      <c r="L32" s="9">
        <v>2041.46</v>
      </c>
      <c r="M32" s="9">
        <v>575</v>
      </c>
      <c r="N32" s="16">
        <v>6347.36</v>
      </c>
      <c r="O32" s="17"/>
    </row>
    <row r="33" spans="1:15" x14ac:dyDescent="0.45">
      <c r="A33" s="7" t="s">
        <v>29</v>
      </c>
      <c r="B33" s="9">
        <v>0</v>
      </c>
      <c r="C33" s="9">
        <v>0</v>
      </c>
      <c r="D33" s="9">
        <v>50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16">
        <v>50</v>
      </c>
      <c r="O33" s="17"/>
    </row>
    <row r="34" spans="1:15" x14ac:dyDescent="0.45">
      <c r="A34" s="7" t="s">
        <v>30</v>
      </c>
      <c r="B34" s="9">
        <v>0</v>
      </c>
      <c r="C34" s="9">
        <v>0</v>
      </c>
      <c r="D34" s="9">
        <v>0</v>
      </c>
      <c r="E34" s="9">
        <v>500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500</v>
      </c>
      <c r="M34" s="9">
        <v>0</v>
      </c>
      <c r="N34" s="16">
        <v>1000</v>
      </c>
      <c r="O34" s="17"/>
    </row>
    <row r="35" spans="1:15" x14ac:dyDescent="0.45">
      <c r="A35" s="7" t="s">
        <v>17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170</v>
      </c>
      <c r="M35" s="9">
        <v>25</v>
      </c>
      <c r="N35" s="16">
        <v>195</v>
      </c>
      <c r="O35" s="17"/>
    </row>
    <row r="36" spans="1:15" x14ac:dyDescent="0.45">
      <c r="A36" s="7" t="s">
        <v>31</v>
      </c>
      <c r="B36" s="9">
        <v>10705.86</v>
      </c>
      <c r="C36" s="9">
        <v>10824.13</v>
      </c>
      <c r="D36" s="9">
        <v>9655.7999999999993</v>
      </c>
      <c r="E36" s="9">
        <v>11013.43</v>
      </c>
      <c r="F36" s="9">
        <v>10470.379999999999</v>
      </c>
      <c r="G36" s="9">
        <v>10356.870000000001</v>
      </c>
      <c r="H36" s="9">
        <v>9766.07</v>
      </c>
      <c r="I36" s="9">
        <v>9836.1299999999992</v>
      </c>
      <c r="J36" s="9">
        <v>11220.85</v>
      </c>
      <c r="K36" s="9">
        <v>11584.03</v>
      </c>
      <c r="L36" s="9">
        <v>11933.2</v>
      </c>
      <c r="M36" s="9">
        <v>13104.42</v>
      </c>
      <c r="N36" s="16">
        <v>130471.17</v>
      </c>
      <c r="O36" s="17"/>
    </row>
    <row r="37" spans="1:15" x14ac:dyDescent="0.45">
      <c r="A37" s="7" t="s">
        <v>32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500</v>
      </c>
      <c r="J37" s="9">
        <v>500</v>
      </c>
      <c r="K37" s="9">
        <v>3070</v>
      </c>
      <c r="L37" s="9">
        <v>0</v>
      </c>
      <c r="M37" s="9">
        <v>1395</v>
      </c>
      <c r="N37" s="16">
        <v>5465</v>
      </c>
      <c r="O37" s="17"/>
    </row>
    <row r="38" spans="1:15" x14ac:dyDescent="0.45">
      <c r="A38" s="7" t="s">
        <v>33</v>
      </c>
      <c r="B38" s="9">
        <v>12.37</v>
      </c>
      <c r="C38" s="9">
        <v>5927.72</v>
      </c>
      <c r="D38" s="9">
        <v>71.19</v>
      </c>
      <c r="E38" s="9">
        <v>98.19</v>
      </c>
      <c r="F38" s="9">
        <v>21.93</v>
      </c>
      <c r="G38" s="9">
        <v>8.75</v>
      </c>
      <c r="H38" s="9">
        <v>7.96</v>
      </c>
      <c r="I38" s="9">
        <v>8.2200000000000006</v>
      </c>
      <c r="J38" s="9">
        <v>8.23</v>
      </c>
      <c r="K38" s="9">
        <v>7.7</v>
      </c>
      <c r="L38" s="9">
        <v>8.5</v>
      </c>
      <c r="M38" s="9">
        <v>8.24</v>
      </c>
      <c r="N38" s="16">
        <v>6189</v>
      </c>
      <c r="O38" s="17"/>
    </row>
    <row r="39" spans="1:15" x14ac:dyDescent="0.45">
      <c r="A39" s="7" t="s">
        <v>34</v>
      </c>
      <c r="B39" s="9">
        <v>220</v>
      </c>
      <c r="C39" s="9">
        <v>226</v>
      </c>
      <c r="D39" s="9">
        <v>212</v>
      </c>
      <c r="E39" s="9">
        <v>242</v>
      </c>
      <c r="F39" s="9">
        <v>246</v>
      </c>
      <c r="G39" s="9">
        <v>216</v>
      </c>
      <c r="H39" s="9">
        <v>232</v>
      </c>
      <c r="I39" s="9">
        <v>214</v>
      </c>
      <c r="J39" s="9">
        <v>218</v>
      </c>
      <c r="K39" s="9">
        <v>216</v>
      </c>
      <c r="L39" s="9">
        <v>228</v>
      </c>
      <c r="M39" s="9">
        <v>214</v>
      </c>
      <c r="N39" s="16">
        <v>2684</v>
      </c>
      <c r="O39" s="17"/>
    </row>
    <row r="40" spans="1:15" x14ac:dyDescent="0.45">
      <c r="A40" s="7" t="s">
        <v>35</v>
      </c>
      <c r="B40" s="9">
        <v>12038.23</v>
      </c>
      <c r="C40" s="9">
        <v>18127.849999999999</v>
      </c>
      <c r="D40" s="9">
        <v>12176.15</v>
      </c>
      <c r="E40" s="9">
        <v>14113.89</v>
      </c>
      <c r="F40" s="9">
        <v>13890.21</v>
      </c>
      <c r="G40" s="9">
        <v>13212.66</v>
      </c>
      <c r="H40" s="9">
        <v>15249.94</v>
      </c>
      <c r="I40" s="9">
        <v>12369.11</v>
      </c>
      <c r="J40" s="9">
        <v>13249.58</v>
      </c>
      <c r="K40" s="9">
        <v>17287.73</v>
      </c>
      <c r="L40" s="9">
        <v>16706.16</v>
      </c>
      <c r="M40" s="9">
        <v>16971.66</v>
      </c>
      <c r="N40" s="16">
        <v>175393.17</v>
      </c>
      <c r="O40" s="17"/>
    </row>
    <row r="41" spans="1:15" x14ac:dyDescent="0.45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6"/>
      <c r="O41" s="17"/>
    </row>
    <row r="42" spans="1:15" x14ac:dyDescent="0.45">
      <c r="A42" s="7" t="s">
        <v>36</v>
      </c>
      <c r="B42" s="9">
        <v>309612.48</v>
      </c>
      <c r="C42" s="9">
        <v>322037.88</v>
      </c>
      <c r="D42" s="9">
        <v>315586.57</v>
      </c>
      <c r="E42" s="9">
        <v>315914.37</v>
      </c>
      <c r="F42" s="9">
        <v>310202.96000000002</v>
      </c>
      <c r="G42" s="9">
        <v>310843.38</v>
      </c>
      <c r="H42" s="9">
        <v>313733.14</v>
      </c>
      <c r="I42" s="9">
        <v>311368.98</v>
      </c>
      <c r="J42" s="9">
        <v>317261.5</v>
      </c>
      <c r="K42" s="9">
        <v>315515.94</v>
      </c>
      <c r="L42" s="9">
        <v>317474.07</v>
      </c>
      <c r="M42" s="9">
        <v>316196.73</v>
      </c>
      <c r="N42" s="16">
        <v>3775748</v>
      </c>
      <c r="O42" s="17"/>
    </row>
    <row r="43" spans="1:15" x14ac:dyDescent="0.45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6"/>
      <c r="O43" s="17"/>
    </row>
    <row r="44" spans="1:15" x14ac:dyDescent="0.45">
      <c r="A44" s="7" t="s">
        <v>37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6"/>
      <c r="O44" s="17"/>
    </row>
    <row r="45" spans="1:15" x14ac:dyDescent="0.45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6"/>
      <c r="O45" s="17"/>
    </row>
    <row r="46" spans="1:15" x14ac:dyDescent="0.45">
      <c r="A46" s="7" t="s">
        <v>38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6"/>
      <c r="O46" s="17"/>
    </row>
    <row r="47" spans="1:15" x14ac:dyDescent="0.45">
      <c r="A47" s="7" t="s">
        <v>39</v>
      </c>
      <c r="B47" s="9">
        <v>15525.27</v>
      </c>
      <c r="C47" s="9">
        <v>15480.62</v>
      </c>
      <c r="D47" s="9">
        <v>16101.89</v>
      </c>
      <c r="E47" s="9">
        <v>15779.32</v>
      </c>
      <c r="F47" s="9">
        <v>15795.71</v>
      </c>
      <c r="G47" s="9">
        <v>15510.14</v>
      </c>
      <c r="H47" s="9">
        <v>15542.16</v>
      </c>
      <c r="I47" s="9">
        <v>15686.65</v>
      </c>
      <c r="J47" s="9">
        <v>15568.44</v>
      </c>
      <c r="K47" s="9">
        <v>15863.07</v>
      </c>
      <c r="L47" s="9">
        <v>15775.73</v>
      </c>
      <c r="M47" s="9">
        <v>15873.7</v>
      </c>
      <c r="N47" s="16">
        <v>188502.7</v>
      </c>
      <c r="O47" s="17"/>
    </row>
    <row r="48" spans="1:15" x14ac:dyDescent="0.45">
      <c r="A48" s="7" t="s">
        <v>40</v>
      </c>
      <c r="B48" s="9">
        <v>15525.27</v>
      </c>
      <c r="C48" s="9">
        <v>15480.62</v>
      </c>
      <c r="D48" s="9">
        <v>16101.89</v>
      </c>
      <c r="E48" s="9">
        <v>15779.32</v>
      </c>
      <c r="F48" s="9">
        <v>15795.71</v>
      </c>
      <c r="G48" s="9">
        <v>15510.14</v>
      </c>
      <c r="H48" s="9">
        <v>15542.16</v>
      </c>
      <c r="I48" s="9">
        <v>15686.65</v>
      </c>
      <c r="J48" s="9">
        <v>15568.44</v>
      </c>
      <c r="K48" s="9">
        <v>15863.07</v>
      </c>
      <c r="L48" s="9">
        <v>15775.73</v>
      </c>
      <c r="M48" s="9">
        <v>15873.7</v>
      </c>
      <c r="N48" s="16">
        <v>188502.7</v>
      </c>
      <c r="O48" s="17"/>
    </row>
    <row r="49" spans="1:15" x14ac:dyDescent="0.45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6"/>
      <c r="O49" s="17"/>
    </row>
    <row r="50" spans="1:15" x14ac:dyDescent="0.45">
      <c r="A50" s="7" t="s">
        <v>41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6"/>
      <c r="O50" s="17"/>
    </row>
    <row r="51" spans="1:15" x14ac:dyDescent="0.45">
      <c r="A51" s="7" t="s">
        <v>42</v>
      </c>
      <c r="B51" s="9">
        <v>6500</v>
      </c>
      <c r="C51" s="9">
        <v>8125</v>
      </c>
      <c r="D51" s="9">
        <v>6500</v>
      </c>
      <c r="E51" s="9">
        <v>8125</v>
      </c>
      <c r="F51" s="9">
        <v>6500</v>
      </c>
      <c r="G51" s="9">
        <v>6500</v>
      </c>
      <c r="H51" s="9">
        <v>8125</v>
      </c>
      <c r="I51" s="9">
        <v>5169.71</v>
      </c>
      <c r="J51" s="9">
        <v>4870</v>
      </c>
      <c r="K51" s="9">
        <v>6250</v>
      </c>
      <c r="L51" s="9">
        <v>5000</v>
      </c>
      <c r="M51" s="9">
        <v>6365.4</v>
      </c>
      <c r="N51" s="16">
        <v>78030.11</v>
      </c>
      <c r="O51" s="17"/>
    </row>
    <row r="52" spans="1:15" x14ac:dyDescent="0.45">
      <c r="A52" s="7" t="s">
        <v>43</v>
      </c>
      <c r="B52" s="9">
        <v>6897.49</v>
      </c>
      <c r="C52" s="9">
        <v>8988.5</v>
      </c>
      <c r="D52" s="9">
        <v>7897.48</v>
      </c>
      <c r="E52" s="9">
        <v>9510.5</v>
      </c>
      <c r="F52" s="9">
        <v>7664.43</v>
      </c>
      <c r="G52" s="9">
        <v>7092.5</v>
      </c>
      <c r="H52" s="9">
        <v>9869.7999999999993</v>
      </c>
      <c r="I52" s="9">
        <v>7773.8</v>
      </c>
      <c r="J52" s="9">
        <v>4043.8</v>
      </c>
      <c r="K52" s="9">
        <v>4452.5</v>
      </c>
      <c r="L52" s="9">
        <v>3528.5</v>
      </c>
      <c r="M52" s="9">
        <v>7273.8</v>
      </c>
      <c r="N52" s="16">
        <v>84993.1</v>
      </c>
      <c r="O52" s="17"/>
    </row>
    <row r="53" spans="1:15" x14ac:dyDescent="0.45">
      <c r="A53" s="7" t="s">
        <v>44</v>
      </c>
      <c r="B53" s="9">
        <v>11498.61</v>
      </c>
      <c r="C53" s="9">
        <v>12486.91</v>
      </c>
      <c r="D53" s="9">
        <v>12160.55</v>
      </c>
      <c r="E53" s="9">
        <v>13182.97</v>
      </c>
      <c r="F53" s="9">
        <v>12553.09</v>
      </c>
      <c r="G53" s="9">
        <v>11280.67</v>
      </c>
      <c r="H53" s="9">
        <v>15767.7</v>
      </c>
      <c r="I53" s="9">
        <v>11553.55</v>
      </c>
      <c r="J53" s="9">
        <v>11678.92</v>
      </c>
      <c r="K53" s="9">
        <v>12966.99</v>
      </c>
      <c r="L53" s="9">
        <v>10546.82</v>
      </c>
      <c r="M53" s="9">
        <v>14371.19</v>
      </c>
      <c r="N53" s="16">
        <v>150047.97</v>
      </c>
      <c r="O53" s="17"/>
    </row>
    <row r="54" spans="1:15" x14ac:dyDescent="0.45">
      <c r="A54" s="7" t="s">
        <v>45</v>
      </c>
      <c r="B54" s="9">
        <v>3204</v>
      </c>
      <c r="C54" s="9">
        <v>3751</v>
      </c>
      <c r="D54" s="9">
        <v>3717</v>
      </c>
      <c r="E54" s="9">
        <v>4005</v>
      </c>
      <c r="F54" s="9">
        <v>3204</v>
      </c>
      <c r="G54" s="9">
        <v>3204</v>
      </c>
      <c r="H54" s="9">
        <v>4234.5</v>
      </c>
      <c r="I54" s="9">
        <v>3204</v>
      </c>
      <c r="J54" s="9">
        <v>3204</v>
      </c>
      <c r="K54" s="9">
        <v>4005</v>
      </c>
      <c r="L54" s="9">
        <v>3163.5</v>
      </c>
      <c r="M54" s="9">
        <v>4054.17</v>
      </c>
      <c r="N54" s="16">
        <v>42950.17</v>
      </c>
      <c r="O54" s="17"/>
    </row>
    <row r="55" spans="1:15" x14ac:dyDescent="0.45">
      <c r="A55" s="7" t="s">
        <v>46</v>
      </c>
      <c r="B55" s="9">
        <v>250</v>
      </c>
      <c r="C55" s="9">
        <v>50</v>
      </c>
      <c r="D55" s="9">
        <v>100</v>
      </c>
      <c r="E55" s="9">
        <v>200</v>
      </c>
      <c r="F55" s="9">
        <v>100</v>
      </c>
      <c r="G55" s="9">
        <v>200</v>
      </c>
      <c r="H55" s="9">
        <v>900</v>
      </c>
      <c r="I55" s="9">
        <v>1000</v>
      </c>
      <c r="J55" s="9">
        <v>200</v>
      </c>
      <c r="K55" s="9">
        <v>200</v>
      </c>
      <c r="L55" s="9">
        <v>150</v>
      </c>
      <c r="M55" s="9">
        <v>225</v>
      </c>
      <c r="N55" s="16">
        <v>3575</v>
      </c>
      <c r="O55" s="17"/>
    </row>
    <row r="56" spans="1:15" x14ac:dyDescent="0.45">
      <c r="A56" s="7" t="s">
        <v>47</v>
      </c>
      <c r="B56" s="9">
        <v>1285</v>
      </c>
      <c r="C56" s="9">
        <v>2155</v>
      </c>
      <c r="D56" s="9">
        <v>1075</v>
      </c>
      <c r="E56" s="9">
        <v>3630</v>
      </c>
      <c r="F56" s="9">
        <v>2855</v>
      </c>
      <c r="G56" s="9">
        <v>2145</v>
      </c>
      <c r="H56" s="9">
        <v>4480</v>
      </c>
      <c r="I56" s="9">
        <v>2640</v>
      </c>
      <c r="J56" s="9">
        <v>1650</v>
      </c>
      <c r="K56" s="9">
        <v>1238</v>
      </c>
      <c r="L56" s="9">
        <v>775</v>
      </c>
      <c r="M56" s="9">
        <v>1320</v>
      </c>
      <c r="N56" s="16">
        <v>25248</v>
      </c>
      <c r="O56" s="17"/>
    </row>
    <row r="57" spans="1:15" x14ac:dyDescent="0.45">
      <c r="A57" s="7" t="s">
        <v>48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4381.24</v>
      </c>
      <c r="M57" s="9">
        <v>0</v>
      </c>
      <c r="N57" s="16">
        <v>4381.24</v>
      </c>
      <c r="O57" s="17"/>
    </row>
    <row r="58" spans="1:15" x14ac:dyDescent="0.45">
      <c r="A58" s="7" t="s">
        <v>49</v>
      </c>
      <c r="B58" s="9">
        <v>3362</v>
      </c>
      <c r="C58" s="9">
        <v>3362</v>
      </c>
      <c r="D58" s="9">
        <v>3362</v>
      </c>
      <c r="E58" s="9">
        <v>3362</v>
      </c>
      <c r="F58" s="9">
        <v>5218</v>
      </c>
      <c r="G58" s="9">
        <v>6690.58</v>
      </c>
      <c r="H58" s="9">
        <v>3833.42</v>
      </c>
      <c r="I58" s="9">
        <v>4020</v>
      </c>
      <c r="J58" s="9">
        <v>4020</v>
      </c>
      <c r="K58" s="9">
        <v>4020</v>
      </c>
      <c r="L58" s="9">
        <v>5468.04</v>
      </c>
      <c r="M58" s="9">
        <v>2707.96</v>
      </c>
      <c r="N58" s="16">
        <v>49426</v>
      </c>
      <c r="O58" s="17"/>
    </row>
    <row r="59" spans="1:15" x14ac:dyDescent="0.45">
      <c r="A59" s="7" t="s">
        <v>50</v>
      </c>
      <c r="B59" s="9">
        <v>3728.79</v>
      </c>
      <c r="C59" s="9">
        <v>3728.79</v>
      </c>
      <c r="D59" s="9">
        <v>3728.79</v>
      </c>
      <c r="E59" s="9">
        <v>3728.79</v>
      </c>
      <c r="F59" s="9">
        <v>3728.79</v>
      </c>
      <c r="G59" s="9">
        <v>3728.79</v>
      </c>
      <c r="H59" s="9">
        <v>3728.79</v>
      </c>
      <c r="I59" s="9">
        <v>0</v>
      </c>
      <c r="J59" s="9">
        <v>3633.04</v>
      </c>
      <c r="K59" s="9">
        <v>2548.14</v>
      </c>
      <c r="L59" s="9">
        <v>7285.65</v>
      </c>
      <c r="M59" s="9">
        <v>3643.44</v>
      </c>
      <c r="N59" s="16">
        <v>43211.8</v>
      </c>
      <c r="O59" s="17"/>
    </row>
    <row r="60" spans="1:15" x14ac:dyDescent="0.45">
      <c r="A60" s="7" t="s">
        <v>51</v>
      </c>
      <c r="B60" s="9">
        <v>1876.66</v>
      </c>
      <c r="C60" s="9">
        <v>863.38</v>
      </c>
      <c r="D60" s="9">
        <v>863.38</v>
      </c>
      <c r="E60" s="9">
        <v>863.38</v>
      </c>
      <c r="F60" s="9">
        <v>863.38</v>
      </c>
      <c r="G60" s="9">
        <v>863.38</v>
      </c>
      <c r="H60" s="9">
        <v>0</v>
      </c>
      <c r="I60" s="9">
        <v>0</v>
      </c>
      <c r="J60" s="9">
        <v>1070.1199999999999</v>
      </c>
      <c r="K60" s="9">
        <v>1070.1199999999999</v>
      </c>
      <c r="L60" s="9">
        <v>3703.96</v>
      </c>
      <c r="M60" s="9">
        <v>1070.1199999999999</v>
      </c>
      <c r="N60" s="16">
        <v>13107.88</v>
      </c>
      <c r="O60" s="17"/>
    </row>
    <row r="61" spans="1:15" x14ac:dyDescent="0.45">
      <c r="A61" s="7" t="s">
        <v>52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16">
        <v>0</v>
      </c>
      <c r="O61" s="17"/>
    </row>
    <row r="62" spans="1:15" x14ac:dyDescent="0.45">
      <c r="A62" s="7" t="s">
        <v>53</v>
      </c>
      <c r="B62" s="9">
        <v>57.23</v>
      </c>
      <c r="C62" s="9">
        <v>-95.4</v>
      </c>
      <c r="D62" s="9">
        <v>60.48</v>
      </c>
      <c r="E62" s="9">
        <v>-125.04</v>
      </c>
      <c r="F62" s="9">
        <v>122.25</v>
      </c>
      <c r="G62" s="9">
        <v>24.24</v>
      </c>
      <c r="H62" s="9">
        <v>-190.56</v>
      </c>
      <c r="I62" s="9">
        <v>154.4</v>
      </c>
      <c r="J62" s="9">
        <v>-21.33</v>
      </c>
      <c r="K62" s="9">
        <v>-110.25</v>
      </c>
      <c r="L62" s="9">
        <v>140.29</v>
      </c>
      <c r="M62" s="9">
        <v>-156.91999999999999</v>
      </c>
      <c r="N62" s="16">
        <v>-140.61000000000001</v>
      </c>
      <c r="O62" s="17"/>
    </row>
    <row r="63" spans="1:15" x14ac:dyDescent="0.45">
      <c r="A63" s="7" t="s">
        <v>54</v>
      </c>
      <c r="B63" s="9">
        <v>546.9</v>
      </c>
      <c r="C63" s="9">
        <v>518.47</v>
      </c>
      <c r="D63" s="9">
        <v>613.87</v>
      </c>
      <c r="E63" s="9">
        <v>553.39</v>
      </c>
      <c r="F63" s="9">
        <v>678.43</v>
      </c>
      <c r="G63" s="9">
        <v>556.17999999999995</v>
      </c>
      <c r="H63" s="9">
        <v>531.94000000000005</v>
      </c>
      <c r="I63" s="9">
        <v>722.5</v>
      </c>
      <c r="J63" s="9">
        <v>568.1</v>
      </c>
      <c r="K63" s="9">
        <v>589.42999999999995</v>
      </c>
      <c r="L63" s="9">
        <v>699.68</v>
      </c>
      <c r="M63" s="9">
        <v>559.39</v>
      </c>
      <c r="N63" s="16">
        <v>7138.28</v>
      </c>
      <c r="O63" s="17"/>
    </row>
    <row r="64" spans="1:15" x14ac:dyDescent="0.45">
      <c r="A64" s="7" t="s">
        <v>55</v>
      </c>
      <c r="B64" s="9">
        <v>2368.5</v>
      </c>
      <c r="C64" s="9">
        <v>3010.77</v>
      </c>
      <c r="D64" s="9">
        <v>2590.3000000000002</v>
      </c>
      <c r="E64" s="9">
        <v>3217.13</v>
      </c>
      <c r="F64" s="9">
        <v>2643.51</v>
      </c>
      <c r="G64" s="9">
        <v>2559.2399999999998</v>
      </c>
      <c r="H64" s="9">
        <v>3480.77</v>
      </c>
      <c r="I64" s="9">
        <v>2517.4499999999998</v>
      </c>
      <c r="J64" s="9">
        <v>2084.16</v>
      </c>
      <c r="K64" s="9">
        <v>2499.85</v>
      </c>
      <c r="L64" s="9">
        <v>4193.84</v>
      </c>
      <c r="M64" s="9">
        <v>2717.48</v>
      </c>
      <c r="N64" s="16">
        <v>33883</v>
      </c>
      <c r="O64" s="17"/>
    </row>
    <row r="65" spans="1:15" x14ac:dyDescent="0.45">
      <c r="A65" s="7" t="s">
        <v>56</v>
      </c>
      <c r="B65" s="9">
        <v>118.77</v>
      </c>
      <c r="C65" s="9">
        <v>7.24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294.85000000000002</v>
      </c>
      <c r="N65" s="16">
        <v>420.86</v>
      </c>
      <c r="O65" s="17"/>
    </row>
    <row r="66" spans="1:15" x14ac:dyDescent="0.45">
      <c r="A66" s="7" t="s">
        <v>57</v>
      </c>
      <c r="B66" s="9">
        <v>41693.949999999997</v>
      </c>
      <c r="C66" s="9">
        <v>46951.66</v>
      </c>
      <c r="D66" s="9">
        <v>42668.85</v>
      </c>
      <c r="E66" s="9">
        <v>50253.120000000003</v>
      </c>
      <c r="F66" s="9">
        <v>46130.879999999997</v>
      </c>
      <c r="G66" s="9">
        <v>44844.58</v>
      </c>
      <c r="H66" s="9">
        <v>54761.36</v>
      </c>
      <c r="I66" s="9">
        <v>38755.410000000003</v>
      </c>
      <c r="J66" s="9">
        <v>37000.81</v>
      </c>
      <c r="K66" s="9">
        <v>39729.78</v>
      </c>
      <c r="L66" s="9">
        <v>49036.52</v>
      </c>
      <c r="M66" s="9">
        <v>44445.88</v>
      </c>
      <c r="N66" s="16">
        <v>536272.80000000005</v>
      </c>
      <c r="O66" s="17"/>
    </row>
    <row r="67" spans="1:15" x14ac:dyDescent="0.45">
      <c r="A67" s="7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6"/>
      <c r="O67" s="17"/>
    </row>
    <row r="68" spans="1:15" x14ac:dyDescent="0.45">
      <c r="A68" s="7" t="s">
        <v>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6"/>
      <c r="O68" s="17"/>
    </row>
    <row r="69" spans="1:15" x14ac:dyDescent="0.45">
      <c r="A69" s="7" t="s">
        <v>59</v>
      </c>
      <c r="B69" s="9">
        <v>0</v>
      </c>
      <c r="C69" s="9">
        <v>0</v>
      </c>
      <c r="D69" s="9">
        <v>134.15</v>
      </c>
      <c r="E69" s="9">
        <v>0</v>
      </c>
      <c r="F69" s="9">
        <v>0</v>
      </c>
      <c r="G69" s="9">
        <v>0</v>
      </c>
      <c r="H69" s="9">
        <v>131.97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16">
        <v>266.12</v>
      </c>
      <c r="O69" s="17"/>
    </row>
    <row r="70" spans="1:15" x14ac:dyDescent="0.45">
      <c r="A70" s="7" t="s">
        <v>60</v>
      </c>
      <c r="B70" s="9">
        <v>1761.47</v>
      </c>
      <c r="C70" s="9">
        <v>1761.47</v>
      </c>
      <c r="D70" s="9">
        <v>1490.05</v>
      </c>
      <c r="E70" s="9">
        <v>1667.63</v>
      </c>
      <c r="F70" s="9">
        <v>1667.63</v>
      </c>
      <c r="G70" s="9">
        <v>2436.3200000000002</v>
      </c>
      <c r="H70" s="9">
        <v>1759.79</v>
      </c>
      <c r="I70" s="9">
        <v>1759.79</v>
      </c>
      <c r="J70" s="9">
        <v>1759.79</v>
      </c>
      <c r="K70" s="9">
        <v>1759.79</v>
      </c>
      <c r="L70" s="9">
        <v>1470.79</v>
      </c>
      <c r="M70" s="9">
        <v>1470.79</v>
      </c>
      <c r="N70" s="16">
        <v>20765.310000000001</v>
      </c>
      <c r="O70" s="17"/>
    </row>
    <row r="71" spans="1:15" x14ac:dyDescent="0.45">
      <c r="A71" s="7" t="s">
        <v>61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1445</v>
      </c>
      <c r="I71" s="9">
        <v>0</v>
      </c>
      <c r="J71" s="9">
        <v>0</v>
      </c>
      <c r="K71" s="9">
        <v>0</v>
      </c>
      <c r="L71" s="9">
        <v>0</v>
      </c>
      <c r="M71" s="9">
        <v>732.5</v>
      </c>
      <c r="N71" s="16">
        <v>2177.5</v>
      </c>
      <c r="O71" s="17"/>
    </row>
    <row r="72" spans="1:15" x14ac:dyDescent="0.45">
      <c r="A72" s="7" t="s">
        <v>62</v>
      </c>
      <c r="B72" s="9">
        <v>216.8</v>
      </c>
      <c r="C72" s="9">
        <v>108.4</v>
      </c>
      <c r="D72" s="9">
        <v>21.68</v>
      </c>
      <c r="E72" s="9">
        <v>151.76</v>
      </c>
      <c r="F72" s="9">
        <v>285.97000000000003</v>
      </c>
      <c r="G72" s="9">
        <v>433.6</v>
      </c>
      <c r="H72" s="9">
        <v>238.48</v>
      </c>
      <c r="I72" s="9">
        <v>199.25</v>
      </c>
      <c r="J72" s="9">
        <v>43.36</v>
      </c>
      <c r="K72" s="9">
        <v>108.4</v>
      </c>
      <c r="L72" s="9">
        <v>86.72</v>
      </c>
      <c r="M72" s="9">
        <v>112.53</v>
      </c>
      <c r="N72" s="16">
        <v>2006.95</v>
      </c>
      <c r="O72" s="17"/>
    </row>
    <row r="73" spans="1:15" x14ac:dyDescent="0.45">
      <c r="A73" s="7" t="s">
        <v>63</v>
      </c>
      <c r="B73" s="9">
        <v>267.85000000000002</v>
      </c>
      <c r="C73" s="9">
        <v>383.39</v>
      </c>
      <c r="D73" s="9">
        <v>335.08</v>
      </c>
      <c r="E73" s="9">
        <v>0</v>
      </c>
      <c r="F73" s="9">
        <v>0</v>
      </c>
      <c r="G73" s="9">
        <v>361.67</v>
      </c>
      <c r="H73" s="9">
        <v>0</v>
      </c>
      <c r="I73" s="9">
        <v>509.25</v>
      </c>
      <c r="J73" s="9">
        <v>0</v>
      </c>
      <c r="K73" s="9">
        <v>363.65</v>
      </c>
      <c r="L73" s="9">
        <v>31.31</v>
      </c>
      <c r="M73" s="9">
        <v>60.28</v>
      </c>
      <c r="N73" s="16">
        <v>2312.48</v>
      </c>
      <c r="O73" s="17"/>
    </row>
    <row r="74" spans="1:15" x14ac:dyDescent="0.45">
      <c r="A74" s="7" t="s">
        <v>64</v>
      </c>
      <c r="B74" s="9">
        <v>0</v>
      </c>
      <c r="C74" s="9">
        <v>0</v>
      </c>
      <c r="D74" s="9">
        <v>367.97</v>
      </c>
      <c r="E74" s="9">
        <v>0</v>
      </c>
      <c r="F74" s="9">
        <v>78.08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239.05</v>
      </c>
      <c r="N74" s="16">
        <v>685.1</v>
      </c>
      <c r="O74" s="17"/>
    </row>
    <row r="75" spans="1:15" x14ac:dyDescent="0.45">
      <c r="A75" s="7" t="s">
        <v>65</v>
      </c>
      <c r="B75" s="9">
        <v>0</v>
      </c>
      <c r="C75" s="9">
        <v>0</v>
      </c>
      <c r="D75" s="9">
        <v>0</v>
      </c>
      <c r="E75" s="9">
        <v>409.09</v>
      </c>
      <c r="F75" s="9">
        <v>0</v>
      </c>
      <c r="G75" s="9">
        <v>66.400000000000006</v>
      </c>
      <c r="H75" s="9">
        <v>0</v>
      </c>
      <c r="I75" s="9">
        <v>20.6</v>
      </c>
      <c r="J75" s="9">
        <v>0</v>
      </c>
      <c r="K75" s="9">
        <v>116.15</v>
      </c>
      <c r="L75" s="9">
        <v>1091.73</v>
      </c>
      <c r="M75" s="9">
        <v>0</v>
      </c>
      <c r="N75" s="16">
        <v>1703.97</v>
      </c>
      <c r="O75" s="17"/>
    </row>
    <row r="76" spans="1:15" x14ac:dyDescent="0.45">
      <c r="A76" s="7" t="s">
        <v>66</v>
      </c>
      <c r="B76" s="9">
        <v>0</v>
      </c>
      <c r="C76" s="9">
        <v>0</v>
      </c>
      <c r="D76" s="9">
        <v>0</v>
      </c>
      <c r="E76" s="9">
        <v>500</v>
      </c>
      <c r="F76" s="9">
        <v>1000</v>
      </c>
      <c r="G76" s="9">
        <v>500</v>
      </c>
      <c r="H76" s="9">
        <v>500</v>
      </c>
      <c r="I76" s="9">
        <v>2000</v>
      </c>
      <c r="J76" s="9">
        <v>1000</v>
      </c>
      <c r="K76" s="9">
        <v>0</v>
      </c>
      <c r="L76" s="9">
        <v>0</v>
      </c>
      <c r="M76" s="9">
        <v>300</v>
      </c>
      <c r="N76" s="16">
        <v>5800</v>
      </c>
      <c r="O76" s="17"/>
    </row>
    <row r="77" spans="1:15" x14ac:dyDescent="0.45">
      <c r="A77" s="7" t="s">
        <v>67</v>
      </c>
      <c r="B77" s="9">
        <v>2246.12</v>
      </c>
      <c r="C77" s="9">
        <v>2253.2600000000002</v>
      </c>
      <c r="D77" s="9">
        <v>2348.9299999999998</v>
      </c>
      <c r="E77" s="9">
        <v>2728.48</v>
      </c>
      <c r="F77" s="9">
        <v>3031.68</v>
      </c>
      <c r="G77" s="9">
        <v>3797.99</v>
      </c>
      <c r="H77" s="9">
        <v>4075.24</v>
      </c>
      <c r="I77" s="9">
        <v>4488.8900000000003</v>
      </c>
      <c r="J77" s="9">
        <v>2803.15</v>
      </c>
      <c r="K77" s="9">
        <v>2347.9899999999998</v>
      </c>
      <c r="L77" s="9">
        <v>2680.55</v>
      </c>
      <c r="M77" s="9">
        <v>2915.15</v>
      </c>
      <c r="N77" s="16">
        <v>35717.43</v>
      </c>
      <c r="O77" s="17"/>
    </row>
    <row r="78" spans="1:15" x14ac:dyDescent="0.45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6"/>
      <c r="O78" s="17"/>
    </row>
    <row r="79" spans="1:15" x14ac:dyDescent="0.45">
      <c r="A79" s="7" t="s">
        <v>68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6"/>
      <c r="O79" s="17"/>
    </row>
    <row r="80" spans="1:15" x14ac:dyDescent="0.45">
      <c r="A80" s="7" t="s">
        <v>69</v>
      </c>
      <c r="B80" s="9">
        <v>149.94999999999999</v>
      </c>
      <c r="C80" s="9">
        <v>149.94999999999999</v>
      </c>
      <c r="D80" s="9">
        <v>149.94999999999999</v>
      </c>
      <c r="E80" s="9">
        <v>149.94999999999999</v>
      </c>
      <c r="F80" s="9">
        <v>149.94999999999999</v>
      </c>
      <c r="G80" s="9">
        <v>149.94999999999999</v>
      </c>
      <c r="H80" s="9">
        <v>149.94999999999999</v>
      </c>
      <c r="I80" s="9">
        <v>149.94999999999999</v>
      </c>
      <c r="J80" s="9">
        <v>149.94999999999999</v>
      </c>
      <c r="K80" s="9">
        <v>149.94999999999999</v>
      </c>
      <c r="L80" s="9">
        <v>149.94999999999999</v>
      </c>
      <c r="M80" s="9">
        <v>155.19</v>
      </c>
      <c r="N80" s="16">
        <v>1804.64</v>
      </c>
      <c r="O80" s="17"/>
    </row>
    <row r="81" spans="1:15" x14ac:dyDescent="0.45">
      <c r="A81" s="7" t="s">
        <v>70</v>
      </c>
      <c r="B81" s="9">
        <v>0.49</v>
      </c>
      <c r="C81" s="9">
        <v>0.75</v>
      </c>
      <c r="D81" s="9">
        <v>40.31</v>
      </c>
      <c r="E81" s="9">
        <v>11.13</v>
      </c>
      <c r="F81" s="9">
        <v>0.6</v>
      </c>
      <c r="G81" s="9">
        <v>0.75</v>
      </c>
      <c r="H81" s="9">
        <v>0.6</v>
      </c>
      <c r="I81" s="9">
        <v>0.78</v>
      </c>
      <c r="J81" s="9">
        <v>0</v>
      </c>
      <c r="K81" s="9">
        <v>1.27</v>
      </c>
      <c r="L81" s="9">
        <v>15.79</v>
      </c>
      <c r="M81" s="9">
        <v>0.6</v>
      </c>
      <c r="N81" s="16">
        <v>73.069999999999993</v>
      </c>
      <c r="O81" s="17"/>
    </row>
    <row r="82" spans="1:15" x14ac:dyDescent="0.45">
      <c r="A82" s="7" t="s">
        <v>71</v>
      </c>
      <c r="B82" s="9">
        <v>150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16">
        <v>150</v>
      </c>
      <c r="O82" s="17"/>
    </row>
    <row r="83" spans="1:15" x14ac:dyDescent="0.45">
      <c r="A83" s="7" t="s">
        <v>72</v>
      </c>
      <c r="B83" s="9">
        <v>1242</v>
      </c>
      <c r="C83" s="9">
        <v>1242</v>
      </c>
      <c r="D83" s="9">
        <v>1242</v>
      </c>
      <c r="E83" s="9">
        <v>1242</v>
      </c>
      <c r="F83" s="9">
        <v>0</v>
      </c>
      <c r="G83" s="9">
        <v>0</v>
      </c>
      <c r="H83" s="9">
        <v>0</v>
      </c>
      <c r="I83" s="9">
        <v>1242</v>
      </c>
      <c r="J83" s="9">
        <v>1242</v>
      </c>
      <c r="K83" s="9">
        <v>1242</v>
      </c>
      <c r="L83" s="9">
        <v>1242</v>
      </c>
      <c r="M83" s="9">
        <v>1242</v>
      </c>
      <c r="N83" s="16">
        <v>11178</v>
      </c>
      <c r="O83" s="17"/>
    </row>
    <row r="84" spans="1:15" x14ac:dyDescent="0.45">
      <c r="A84" s="7" t="s">
        <v>73</v>
      </c>
      <c r="B84" s="9">
        <v>71.95</v>
      </c>
      <c r="C84" s="9">
        <v>71.95</v>
      </c>
      <c r="D84" s="9">
        <v>77.95</v>
      </c>
      <c r="E84" s="9">
        <v>77.95</v>
      </c>
      <c r="F84" s="9">
        <v>77.95</v>
      </c>
      <c r="G84" s="9">
        <v>0</v>
      </c>
      <c r="H84" s="9">
        <v>395.78</v>
      </c>
      <c r="I84" s="9">
        <v>71.95</v>
      </c>
      <c r="J84" s="9">
        <v>0</v>
      </c>
      <c r="K84" s="9">
        <v>1149.0999999999999</v>
      </c>
      <c r="L84" s="9">
        <v>329.75</v>
      </c>
      <c r="M84" s="9">
        <v>77.95</v>
      </c>
      <c r="N84" s="16">
        <v>2402.2800000000002</v>
      </c>
      <c r="O84" s="17"/>
    </row>
    <row r="85" spans="1:15" x14ac:dyDescent="0.45">
      <c r="A85" s="7" t="s">
        <v>74</v>
      </c>
      <c r="B85" s="9">
        <v>300</v>
      </c>
      <c r="C85" s="9">
        <v>0</v>
      </c>
      <c r="D85" s="9">
        <v>300</v>
      </c>
      <c r="E85" s="9">
        <v>150</v>
      </c>
      <c r="F85" s="9">
        <v>376.61</v>
      </c>
      <c r="G85" s="9">
        <v>0</v>
      </c>
      <c r="H85" s="9">
        <v>2100</v>
      </c>
      <c r="I85" s="9">
        <v>162.25</v>
      </c>
      <c r="J85" s="9">
        <v>150</v>
      </c>
      <c r="K85" s="9">
        <v>150</v>
      </c>
      <c r="L85" s="9">
        <v>150</v>
      </c>
      <c r="M85" s="9">
        <v>0</v>
      </c>
      <c r="N85" s="16">
        <v>3838.86</v>
      </c>
      <c r="O85" s="17"/>
    </row>
    <row r="86" spans="1:15" x14ac:dyDescent="0.45">
      <c r="A86" s="7" t="s">
        <v>75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16">
        <v>0</v>
      </c>
      <c r="O86" s="17"/>
    </row>
    <row r="87" spans="1:15" x14ac:dyDescent="0.45">
      <c r="A87" s="7" t="s">
        <v>76</v>
      </c>
      <c r="B87" s="9">
        <v>20</v>
      </c>
      <c r="C87" s="9">
        <v>23.2</v>
      </c>
      <c r="D87" s="9">
        <v>23.2</v>
      </c>
      <c r="E87" s="9">
        <v>23.2</v>
      </c>
      <c r="F87" s="9">
        <v>23.2</v>
      </c>
      <c r="G87" s="9">
        <v>23.2</v>
      </c>
      <c r="H87" s="9">
        <v>23.2</v>
      </c>
      <c r="I87" s="9">
        <v>23.2</v>
      </c>
      <c r="J87" s="9">
        <v>23.2</v>
      </c>
      <c r="K87" s="9">
        <v>23.2</v>
      </c>
      <c r="L87" s="9">
        <v>23.2</v>
      </c>
      <c r="M87" s="9">
        <v>23.2</v>
      </c>
      <c r="N87" s="16">
        <v>275.2</v>
      </c>
      <c r="O87" s="17"/>
    </row>
    <row r="88" spans="1:15" x14ac:dyDescent="0.45">
      <c r="A88" s="7" t="s">
        <v>77</v>
      </c>
      <c r="B88" s="9">
        <v>0</v>
      </c>
      <c r="C88" s="9">
        <v>0</v>
      </c>
      <c r="D88" s="9">
        <v>197.26</v>
      </c>
      <c r="E88" s="9">
        <v>0</v>
      </c>
      <c r="F88" s="9">
        <v>0</v>
      </c>
      <c r="G88" s="9">
        <v>0</v>
      </c>
      <c r="H88" s="9">
        <v>0</v>
      </c>
      <c r="I88" s="9">
        <v>5000</v>
      </c>
      <c r="J88" s="9">
        <v>225</v>
      </c>
      <c r="K88" s="9">
        <v>0</v>
      </c>
      <c r="L88" s="9">
        <v>0</v>
      </c>
      <c r="M88" s="9">
        <v>0</v>
      </c>
      <c r="N88" s="16">
        <v>5422.26</v>
      </c>
      <c r="O88" s="17"/>
    </row>
    <row r="89" spans="1:15" x14ac:dyDescent="0.45">
      <c r="A89" s="7" t="s">
        <v>78</v>
      </c>
      <c r="B89" s="9">
        <v>0</v>
      </c>
      <c r="C89" s="9">
        <v>525</v>
      </c>
      <c r="D89" s="9">
        <v>0</v>
      </c>
      <c r="E89" s="9">
        <v>50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350</v>
      </c>
      <c r="N89" s="16">
        <v>925</v>
      </c>
      <c r="O89" s="17"/>
    </row>
    <row r="90" spans="1:15" x14ac:dyDescent="0.45">
      <c r="A90" s="7" t="s">
        <v>79</v>
      </c>
      <c r="B90" s="9">
        <v>725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16">
        <v>725</v>
      </c>
      <c r="O90" s="17"/>
    </row>
    <row r="91" spans="1:15" x14ac:dyDescent="0.45">
      <c r="A91" s="7" t="s">
        <v>80</v>
      </c>
      <c r="B91" s="9">
        <v>0</v>
      </c>
      <c r="C91" s="9">
        <v>242.73</v>
      </c>
      <c r="D91" s="9">
        <v>48.07</v>
      </c>
      <c r="E91" s="9">
        <v>189.3</v>
      </c>
      <c r="F91" s="9">
        <v>322.29000000000002</v>
      </c>
      <c r="G91" s="9">
        <v>0</v>
      </c>
      <c r="H91" s="9">
        <v>83.84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16">
        <v>886.23</v>
      </c>
      <c r="O91" s="17"/>
    </row>
    <row r="92" spans="1:15" x14ac:dyDescent="0.45">
      <c r="A92" s="7" t="s">
        <v>81</v>
      </c>
      <c r="B92" s="9">
        <v>0</v>
      </c>
      <c r="C92" s="9">
        <v>0</v>
      </c>
      <c r="D92" s="9">
        <v>48.3</v>
      </c>
      <c r="E92" s="9">
        <v>0</v>
      </c>
      <c r="F92" s="9">
        <v>11.02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79.02</v>
      </c>
      <c r="N92" s="16">
        <v>138.34</v>
      </c>
      <c r="O92" s="17"/>
    </row>
    <row r="93" spans="1:15" x14ac:dyDescent="0.45">
      <c r="A93" s="7" t="s">
        <v>82</v>
      </c>
      <c r="B93" s="9">
        <v>0</v>
      </c>
      <c r="C93" s="9">
        <v>134.68</v>
      </c>
      <c r="D93" s="9">
        <v>0</v>
      </c>
      <c r="E93" s="9">
        <v>34.880000000000003</v>
      </c>
      <c r="F93" s="9">
        <v>219.27</v>
      </c>
      <c r="G93" s="9">
        <v>0</v>
      </c>
      <c r="H93" s="9">
        <v>0</v>
      </c>
      <c r="I93" s="9">
        <v>341.99</v>
      </c>
      <c r="J93" s="9">
        <v>148.35</v>
      </c>
      <c r="K93" s="9">
        <v>34.28</v>
      </c>
      <c r="L93" s="9">
        <v>0</v>
      </c>
      <c r="M93" s="9">
        <v>0</v>
      </c>
      <c r="N93" s="16">
        <v>913.45</v>
      </c>
      <c r="O93" s="17"/>
    </row>
    <row r="94" spans="1:15" x14ac:dyDescent="0.45">
      <c r="A94" s="7" t="s">
        <v>83</v>
      </c>
      <c r="B94" s="9">
        <v>0</v>
      </c>
      <c r="C94" s="9">
        <v>0</v>
      </c>
      <c r="D94" s="9">
        <v>0</v>
      </c>
      <c r="E94" s="9">
        <v>75.69</v>
      </c>
      <c r="F94" s="9">
        <v>0</v>
      </c>
      <c r="G94" s="9">
        <v>0</v>
      </c>
      <c r="H94" s="9">
        <v>0</v>
      </c>
      <c r="I94" s="9">
        <v>0</v>
      </c>
      <c r="J94" s="9">
        <v>230.56</v>
      </c>
      <c r="K94" s="9">
        <v>417.93</v>
      </c>
      <c r="L94" s="9">
        <v>960.95</v>
      </c>
      <c r="M94" s="9">
        <v>0</v>
      </c>
      <c r="N94" s="16">
        <v>1685.13</v>
      </c>
      <c r="O94" s="17"/>
    </row>
    <row r="95" spans="1:15" x14ac:dyDescent="0.45">
      <c r="A95" s="7" t="s">
        <v>84</v>
      </c>
      <c r="B95" s="9">
        <v>25.79</v>
      </c>
      <c r="C95" s="9">
        <v>66</v>
      </c>
      <c r="D95" s="9">
        <v>0</v>
      </c>
      <c r="E95" s="9">
        <v>0</v>
      </c>
      <c r="F95" s="9">
        <v>66</v>
      </c>
      <c r="G95" s="9">
        <v>48.8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16">
        <v>206.59</v>
      </c>
      <c r="O95" s="17"/>
    </row>
    <row r="96" spans="1:15" x14ac:dyDescent="0.45">
      <c r="A96" s="7" t="s">
        <v>85</v>
      </c>
      <c r="B96" s="9">
        <v>200</v>
      </c>
      <c r="C96" s="9">
        <v>105</v>
      </c>
      <c r="D96" s="9">
        <v>517.85</v>
      </c>
      <c r="E96" s="9">
        <v>0</v>
      </c>
      <c r="F96" s="9">
        <v>105</v>
      </c>
      <c r="G96" s="9">
        <v>167.85</v>
      </c>
      <c r="H96" s="9">
        <v>0</v>
      </c>
      <c r="I96" s="9">
        <v>105</v>
      </c>
      <c r="J96" s="9">
        <v>167.85</v>
      </c>
      <c r="K96" s="9">
        <v>0</v>
      </c>
      <c r="L96" s="9">
        <v>0</v>
      </c>
      <c r="M96" s="9">
        <v>0</v>
      </c>
      <c r="N96" s="16">
        <v>1368.55</v>
      </c>
      <c r="O96" s="17"/>
    </row>
    <row r="97" spans="1:15" x14ac:dyDescent="0.45">
      <c r="A97" s="7" t="s">
        <v>86</v>
      </c>
      <c r="B97" s="9">
        <v>222.6</v>
      </c>
      <c r="C97" s="9">
        <v>212.1</v>
      </c>
      <c r="D97" s="9">
        <v>124</v>
      </c>
      <c r="E97" s="9">
        <v>3900.48</v>
      </c>
      <c r="F97" s="9">
        <v>241.1</v>
      </c>
      <c r="G97" s="9">
        <v>722.28</v>
      </c>
      <c r="H97" s="9">
        <v>231.76</v>
      </c>
      <c r="I97" s="9">
        <v>238.76</v>
      </c>
      <c r="J97" s="9">
        <v>234.26</v>
      </c>
      <c r="K97" s="9">
        <v>272.76</v>
      </c>
      <c r="L97" s="9">
        <v>267.76</v>
      </c>
      <c r="M97" s="9">
        <v>212.76</v>
      </c>
      <c r="N97" s="16">
        <v>6880.62</v>
      </c>
      <c r="O97" s="17"/>
    </row>
    <row r="98" spans="1:15" x14ac:dyDescent="0.45">
      <c r="A98" s="7" t="s">
        <v>87</v>
      </c>
      <c r="B98" s="9">
        <v>3107.78</v>
      </c>
      <c r="C98" s="9">
        <v>2773.36</v>
      </c>
      <c r="D98" s="9">
        <v>2768.89</v>
      </c>
      <c r="E98" s="9">
        <v>5904.58</v>
      </c>
      <c r="F98" s="9">
        <v>1592.99</v>
      </c>
      <c r="G98" s="9">
        <v>1112.83</v>
      </c>
      <c r="H98" s="9">
        <v>2985.13</v>
      </c>
      <c r="I98" s="9">
        <v>7335.88</v>
      </c>
      <c r="J98" s="9">
        <v>2571.17</v>
      </c>
      <c r="K98" s="9">
        <v>3440.49</v>
      </c>
      <c r="L98" s="9">
        <v>3139.4</v>
      </c>
      <c r="M98" s="9">
        <v>2140.7199999999998</v>
      </c>
      <c r="N98" s="16">
        <v>38873.22</v>
      </c>
      <c r="O98" s="17"/>
    </row>
    <row r="99" spans="1:15" x14ac:dyDescent="0.45">
      <c r="A99" s="7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6"/>
      <c r="O99" s="17"/>
    </row>
    <row r="100" spans="1:15" x14ac:dyDescent="0.45">
      <c r="A100" s="7" t="s">
        <v>88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6"/>
      <c r="O100" s="17"/>
    </row>
    <row r="101" spans="1:15" x14ac:dyDescent="0.45">
      <c r="A101" s="7" t="s">
        <v>89</v>
      </c>
      <c r="B101" s="9">
        <v>2881.38</v>
      </c>
      <c r="C101" s="9">
        <v>2601.8200000000002</v>
      </c>
      <c r="D101" s="9">
        <v>2515.4899999999998</v>
      </c>
      <c r="E101" s="9">
        <v>2343.0700000000002</v>
      </c>
      <c r="F101" s="9">
        <v>2616.98</v>
      </c>
      <c r="G101" s="9">
        <v>2829.05</v>
      </c>
      <c r="H101" s="9">
        <v>2932.19</v>
      </c>
      <c r="I101" s="9">
        <v>3047.74</v>
      </c>
      <c r="J101" s="9">
        <v>2693.72</v>
      </c>
      <c r="K101" s="9">
        <v>2721.76</v>
      </c>
      <c r="L101" s="9">
        <v>2358.19</v>
      </c>
      <c r="M101" s="9">
        <v>2639.23</v>
      </c>
      <c r="N101" s="16">
        <v>32180.62</v>
      </c>
      <c r="O101" s="17"/>
    </row>
    <row r="102" spans="1:15" x14ac:dyDescent="0.45">
      <c r="A102" s="7" t="s">
        <v>90</v>
      </c>
      <c r="B102" s="9">
        <v>414.98</v>
      </c>
      <c r="C102" s="9">
        <v>462.43</v>
      </c>
      <c r="D102" s="9">
        <v>101.96</v>
      </c>
      <c r="E102" s="9">
        <v>397.54</v>
      </c>
      <c r="F102" s="9">
        <v>560.24</v>
      </c>
      <c r="G102" s="9">
        <v>952.58</v>
      </c>
      <c r="H102" s="9">
        <v>1093.2</v>
      </c>
      <c r="I102" s="9">
        <v>525.87</v>
      </c>
      <c r="J102" s="9">
        <v>635.16999999999996</v>
      </c>
      <c r="K102" s="9">
        <v>447.49</v>
      </c>
      <c r="L102" s="9">
        <v>88.02</v>
      </c>
      <c r="M102" s="9">
        <v>667.27</v>
      </c>
      <c r="N102" s="16">
        <v>6346.75</v>
      </c>
      <c r="O102" s="17"/>
    </row>
    <row r="103" spans="1:15" x14ac:dyDescent="0.45">
      <c r="A103" s="7" t="s">
        <v>91</v>
      </c>
      <c r="B103" s="9">
        <v>0</v>
      </c>
      <c r="C103" s="9">
        <v>0</v>
      </c>
      <c r="D103" s="9">
        <v>0</v>
      </c>
      <c r="E103" s="9">
        <v>0</v>
      </c>
      <c r="F103" s="9">
        <v>11.6</v>
      </c>
      <c r="G103" s="9">
        <v>11.62</v>
      </c>
      <c r="H103" s="9">
        <v>44.13</v>
      </c>
      <c r="I103" s="9">
        <v>64.23</v>
      </c>
      <c r="J103" s="9">
        <v>0</v>
      </c>
      <c r="K103" s="9">
        <v>28.57</v>
      </c>
      <c r="L103" s="9">
        <v>0</v>
      </c>
      <c r="M103" s="9">
        <v>16.489999999999998</v>
      </c>
      <c r="N103" s="16">
        <v>176.64</v>
      </c>
      <c r="O103" s="17"/>
    </row>
    <row r="104" spans="1:15" x14ac:dyDescent="0.45">
      <c r="A104" s="7" t="s">
        <v>92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794</v>
      </c>
      <c r="J104" s="9">
        <v>0</v>
      </c>
      <c r="K104" s="9">
        <v>0</v>
      </c>
      <c r="L104" s="9">
        <v>794</v>
      </c>
      <c r="M104" s="9">
        <v>0</v>
      </c>
      <c r="N104" s="16">
        <v>1588</v>
      </c>
      <c r="O104" s="17"/>
    </row>
    <row r="105" spans="1:15" x14ac:dyDescent="0.45">
      <c r="A105" s="7" t="s">
        <v>93</v>
      </c>
      <c r="B105" s="9">
        <v>1244.9000000000001</v>
      </c>
      <c r="C105" s="9">
        <v>1417.56</v>
      </c>
      <c r="D105" s="9">
        <v>1417.11</v>
      </c>
      <c r="E105" s="9">
        <v>1579.13</v>
      </c>
      <c r="F105" s="9">
        <v>1415.31</v>
      </c>
      <c r="G105" s="9">
        <v>1459.31</v>
      </c>
      <c r="H105" s="9">
        <v>1451.88</v>
      </c>
      <c r="I105" s="9">
        <v>1455.27</v>
      </c>
      <c r="J105" s="9">
        <v>1480.38</v>
      </c>
      <c r="K105" s="9">
        <v>1539.78</v>
      </c>
      <c r="L105" s="9">
        <v>1457.84</v>
      </c>
      <c r="M105" s="9">
        <v>1498.24</v>
      </c>
      <c r="N105" s="16">
        <v>17416.71</v>
      </c>
      <c r="O105" s="17"/>
    </row>
    <row r="106" spans="1:15" x14ac:dyDescent="0.45">
      <c r="A106" s="7" t="s">
        <v>94</v>
      </c>
      <c r="B106" s="9">
        <v>4010.28</v>
      </c>
      <c r="C106" s="9">
        <v>3829.88</v>
      </c>
      <c r="D106" s="9">
        <v>3796.01</v>
      </c>
      <c r="E106" s="9">
        <v>3524.48</v>
      </c>
      <c r="F106" s="9">
        <v>3804.14</v>
      </c>
      <c r="G106" s="9">
        <v>4742.74</v>
      </c>
      <c r="H106" s="9">
        <v>5233.97</v>
      </c>
      <c r="I106" s="9">
        <v>1295.5999999999999</v>
      </c>
      <c r="J106" s="9">
        <v>7578.9</v>
      </c>
      <c r="K106" s="9">
        <v>4848.92</v>
      </c>
      <c r="L106" s="9">
        <v>2850.89</v>
      </c>
      <c r="M106" s="9">
        <v>4230.22</v>
      </c>
      <c r="N106" s="16">
        <v>49746.03</v>
      </c>
      <c r="O106" s="17"/>
    </row>
    <row r="107" spans="1:15" x14ac:dyDescent="0.45">
      <c r="A107" s="7" t="s">
        <v>95</v>
      </c>
      <c r="B107" s="9">
        <v>13183.46</v>
      </c>
      <c r="C107" s="9">
        <v>9799.52</v>
      </c>
      <c r="D107" s="9">
        <v>15175.2</v>
      </c>
      <c r="E107" s="9">
        <v>14022.02</v>
      </c>
      <c r="F107" s="9">
        <v>13148.94</v>
      </c>
      <c r="G107" s="9">
        <v>13322.06</v>
      </c>
      <c r="H107" s="9">
        <v>13338.91</v>
      </c>
      <c r="I107" s="9">
        <v>13642.59</v>
      </c>
      <c r="J107" s="9">
        <v>15087.75</v>
      </c>
      <c r="K107" s="9">
        <v>18457.580000000002</v>
      </c>
      <c r="L107" s="9">
        <v>15179.97</v>
      </c>
      <c r="M107" s="9">
        <v>14535.57</v>
      </c>
      <c r="N107" s="16">
        <v>168893.57</v>
      </c>
      <c r="O107" s="17"/>
    </row>
    <row r="108" spans="1:15" x14ac:dyDescent="0.45">
      <c r="A108" s="7" t="s">
        <v>96</v>
      </c>
      <c r="B108" s="9">
        <v>21735</v>
      </c>
      <c r="C108" s="9">
        <v>18111.21</v>
      </c>
      <c r="D108" s="9">
        <v>23005.77</v>
      </c>
      <c r="E108" s="9">
        <v>21866.240000000002</v>
      </c>
      <c r="F108" s="9">
        <v>21557.21</v>
      </c>
      <c r="G108" s="9">
        <v>23317.360000000001</v>
      </c>
      <c r="H108" s="9">
        <v>24094.28</v>
      </c>
      <c r="I108" s="9">
        <v>20825.3</v>
      </c>
      <c r="J108" s="9">
        <v>27475.919999999998</v>
      </c>
      <c r="K108" s="9">
        <v>28044.1</v>
      </c>
      <c r="L108" s="9">
        <v>22728.91</v>
      </c>
      <c r="M108" s="9">
        <v>23587.02</v>
      </c>
      <c r="N108" s="16">
        <v>276348.32</v>
      </c>
      <c r="O108" s="17"/>
    </row>
    <row r="109" spans="1:15" x14ac:dyDescent="0.45">
      <c r="A109" s="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6"/>
      <c r="O109" s="17"/>
    </row>
    <row r="110" spans="1:15" x14ac:dyDescent="0.45">
      <c r="A110" s="7" t="s">
        <v>97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6"/>
      <c r="O110" s="17"/>
    </row>
    <row r="111" spans="1:15" x14ac:dyDescent="0.45">
      <c r="A111" s="7" t="s">
        <v>98</v>
      </c>
      <c r="B111" s="9">
        <v>204.55</v>
      </c>
      <c r="C111" s="9">
        <v>174.64</v>
      </c>
      <c r="D111" s="9">
        <v>0</v>
      </c>
      <c r="E111" s="9">
        <v>704.01</v>
      </c>
      <c r="F111" s="9">
        <v>1304.4100000000001</v>
      </c>
      <c r="G111" s="9">
        <v>227.37</v>
      </c>
      <c r="H111" s="9">
        <v>217.17</v>
      </c>
      <c r="I111" s="9">
        <v>0</v>
      </c>
      <c r="J111" s="9">
        <v>-145.61000000000001</v>
      </c>
      <c r="K111" s="9">
        <v>237.89</v>
      </c>
      <c r="L111" s="9">
        <v>312.56</v>
      </c>
      <c r="M111" s="9">
        <v>514.29999999999995</v>
      </c>
      <c r="N111" s="16">
        <v>3751.29</v>
      </c>
      <c r="O111" s="17"/>
    </row>
    <row r="112" spans="1:15" x14ac:dyDescent="0.45">
      <c r="A112" s="7" t="s">
        <v>99</v>
      </c>
      <c r="B112" s="9">
        <v>70.73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16">
        <v>70.73</v>
      </c>
      <c r="O112" s="17"/>
    </row>
    <row r="113" spans="1:15" x14ac:dyDescent="0.45">
      <c r="A113" s="7" t="s">
        <v>100</v>
      </c>
      <c r="B113" s="9">
        <v>0</v>
      </c>
      <c r="C113" s="9">
        <v>0</v>
      </c>
      <c r="D113" s="9">
        <v>13686.07</v>
      </c>
      <c r="E113" s="9">
        <v>1040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1160</v>
      </c>
      <c r="L113" s="9">
        <v>330</v>
      </c>
      <c r="M113" s="9">
        <v>0</v>
      </c>
      <c r="N113" s="16">
        <v>16216.07</v>
      </c>
      <c r="O113" s="17"/>
    </row>
    <row r="114" spans="1:15" x14ac:dyDescent="0.45">
      <c r="A114" s="7" t="s">
        <v>101</v>
      </c>
      <c r="B114" s="9">
        <v>0</v>
      </c>
      <c r="C114" s="9">
        <v>0</v>
      </c>
      <c r="D114" s="9">
        <v>0</v>
      </c>
      <c r="E114" s="9">
        <v>0</v>
      </c>
      <c r="F114" s="9">
        <v>648.32000000000005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/>
      <c r="N114" s="16">
        <v>648.32000000000005</v>
      </c>
      <c r="O114" s="17"/>
    </row>
    <row r="115" spans="1:15" x14ac:dyDescent="0.45">
      <c r="A115" s="7" t="s">
        <v>102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95</v>
      </c>
      <c r="I115" s="9">
        <v>95</v>
      </c>
      <c r="J115" s="9">
        <v>140</v>
      </c>
      <c r="K115" s="9">
        <v>0</v>
      </c>
      <c r="L115" s="9">
        <v>0</v>
      </c>
      <c r="M115" s="9">
        <v>45</v>
      </c>
      <c r="N115" s="16">
        <v>375</v>
      </c>
      <c r="O115" s="17"/>
    </row>
    <row r="116" spans="1:15" x14ac:dyDescent="0.45">
      <c r="A116" s="7" t="s">
        <v>103</v>
      </c>
      <c r="B116" s="9">
        <v>130</v>
      </c>
      <c r="C116" s="9">
        <v>345</v>
      </c>
      <c r="D116" s="9">
        <v>1220</v>
      </c>
      <c r="E116" s="9">
        <v>265</v>
      </c>
      <c r="F116" s="9">
        <v>990</v>
      </c>
      <c r="G116" s="9">
        <v>520</v>
      </c>
      <c r="H116" s="9">
        <v>780</v>
      </c>
      <c r="I116" s="9">
        <v>325</v>
      </c>
      <c r="J116" s="9">
        <v>480</v>
      </c>
      <c r="K116" s="9">
        <v>575</v>
      </c>
      <c r="L116" s="9">
        <v>200</v>
      </c>
      <c r="M116" s="9">
        <v>360</v>
      </c>
      <c r="N116" s="16">
        <v>6190</v>
      </c>
      <c r="O116" s="17"/>
    </row>
    <row r="117" spans="1:15" x14ac:dyDescent="0.45">
      <c r="A117" s="7" t="s">
        <v>104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300</v>
      </c>
      <c r="K117" s="9">
        <v>0</v>
      </c>
      <c r="L117" s="9">
        <v>0</v>
      </c>
      <c r="M117" s="9">
        <v>0</v>
      </c>
      <c r="N117" s="16">
        <v>300</v>
      </c>
      <c r="O117" s="17"/>
    </row>
    <row r="118" spans="1:15" x14ac:dyDescent="0.45">
      <c r="A118" s="7" t="s">
        <v>105</v>
      </c>
      <c r="B118" s="9">
        <v>0</v>
      </c>
      <c r="C118" s="9">
        <v>178.58</v>
      </c>
      <c r="D118" s="9">
        <v>0</v>
      </c>
      <c r="E118" s="9">
        <v>250</v>
      </c>
      <c r="F118" s="9">
        <v>0</v>
      </c>
      <c r="G118" s="9">
        <v>0</v>
      </c>
      <c r="H118" s="9">
        <v>670</v>
      </c>
      <c r="I118" s="9">
        <v>1465</v>
      </c>
      <c r="J118" s="9">
        <v>3730</v>
      </c>
      <c r="K118" s="9">
        <v>236.32</v>
      </c>
      <c r="L118" s="9">
        <v>700</v>
      </c>
      <c r="M118" s="9">
        <v>805</v>
      </c>
      <c r="N118" s="16">
        <v>8034.9</v>
      </c>
      <c r="O118" s="17"/>
    </row>
    <row r="119" spans="1:15" x14ac:dyDescent="0.45">
      <c r="A119" s="7" t="s">
        <v>106</v>
      </c>
      <c r="B119" s="9">
        <v>448</v>
      </c>
      <c r="C119" s="9">
        <v>765</v>
      </c>
      <c r="D119" s="9">
        <v>980</v>
      </c>
      <c r="E119" s="9">
        <v>310</v>
      </c>
      <c r="F119" s="9">
        <v>1085</v>
      </c>
      <c r="G119" s="9">
        <v>675</v>
      </c>
      <c r="H119" s="9">
        <v>1280</v>
      </c>
      <c r="I119" s="9">
        <v>310</v>
      </c>
      <c r="J119" s="9">
        <v>310</v>
      </c>
      <c r="K119" s="9">
        <v>795</v>
      </c>
      <c r="L119" s="9">
        <v>345</v>
      </c>
      <c r="M119" s="9">
        <v>540</v>
      </c>
      <c r="N119" s="16">
        <v>7843</v>
      </c>
      <c r="O119" s="17"/>
    </row>
    <row r="120" spans="1:15" x14ac:dyDescent="0.45">
      <c r="A120" s="7" t="s">
        <v>107</v>
      </c>
      <c r="B120" s="9">
        <v>420</v>
      </c>
      <c r="C120" s="9">
        <v>840</v>
      </c>
      <c r="D120" s="9">
        <v>1050</v>
      </c>
      <c r="E120" s="9">
        <v>840</v>
      </c>
      <c r="F120" s="9">
        <v>840</v>
      </c>
      <c r="G120" s="9">
        <v>1260</v>
      </c>
      <c r="H120" s="9">
        <v>840</v>
      </c>
      <c r="I120" s="9">
        <v>630</v>
      </c>
      <c r="J120" s="9">
        <v>630</v>
      </c>
      <c r="K120" s="9">
        <v>1570</v>
      </c>
      <c r="L120" s="9">
        <v>630</v>
      </c>
      <c r="M120" s="9">
        <v>630</v>
      </c>
      <c r="N120" s="16">
        <v>10180</v>
      </c>
      <c r="O120" s="17"/>
    </row>
    <row r="121" spans="1:15" x14ac:dyDescent="0.45">
      <c r="A121" s="7" t="s">
        <v>108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200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150</v>
      </c>
      <c r="N121" s="16">
        <v>350</v>
      </c>
      <c r="O121" s="17"/>
    </row>
    <row r="122" spans="1:15" x14ac:dyDescent="0.45">
      <c r="A122" s="7" t="s">
        <v>109</v>
      </c>
      <c r="B122" s="9">
        <v>0</v>
      </c>
      <c r="C122" s="9">
        <v>43.49</v>
      </c>
      <c r="D122" s="9">
        <v>527.15</v>
      </c>
      <c r="E122" s="9">
        <v>0</v>
      </c>
      <c r="F122" s="9">
        <v>0</v>
      </c>
      <c r="G122" s="9">
        <v>985.44</v>
      </c>
      <c r="H122" s="9">
        <v>0</v>
      </c>
      <c r="I122" s="9">
        <v>442.3</v>
      </c>
      <c r="J122" s="9">
        <v>0</v>
      </c>
      <c r="K122" s="9">
        <v>97.94</v>
      </c>
      <c r="L122" s="9">
        <v>336.36</v>
      </c>
      <c r="M122" s="9">
        <v>602.16</v>
      </c>
      <c r="N122" s="16">
        <v>3034.84</v>
      </c>
      <c r="O122" s="17"/>
    </row>
    <row r="123" spans="1:15" x14ac:dyDescent="0.45">
      <c r="A123" s="7" t="s">
        <v>110</v>
      </c>
      <c r="B123" s="9">
        <v>560.36</v>
      </c>
      <c r="C123" s="9">
        <v>13.35</v>
      </c>
      <c r="D123" s="9">
        <v>218.86</v>
      </c>
      <c r="E123" s="9">
        <v>146.06</v>
      </c>
      <c r="F123" s="9">
        <v>440.93</v>
      </c>
      <c r="G123" s="9">
        <v>380.41</v>
      </c>
      <c r="H123" s="9">
        <v>28.83</v>
      </c>
      <c r="I123" s="9">
        <v>128.55000000000001</v>
      </c>
      <c r="J123" s="9">
        <v>522.82000000000005</v>
      </c>
      <c r="K123" s="9">
        <v>119.74</v>
      </c>
      <c r="L123" s="9">
        <v>0</v>
      </c>
      <c r="M123" s="9">
        <v>38.96</v>
      </c>
      <c r="N123" s="16">
        <v>2598.87</v>
      </c>
      <c r="O123" s="17"/>
    </row>
    <row r="124" spans="1:15" x14ac:dyDescent="0.45">
      <c r="A124" s="7" t="s">
        <v>111</v>
      </c>
      <c r="B124" s="9">
        <v>0</v>
      </c>
      <c r="C124" s="9">
        <v>0</v>
      </c>
      <c r="D124" s="9">
        <v>0</v>
      </c>
      <c r="E124" s="9">
        <v>0</v>
      </c>
      <c r="F124" s="9">
        <v>275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275</v>
      </c>
      <c r="M124" s="9">
        <v>0</v>
      </c>
      <c r="N124" s="16">
        <v>550</v>
      </c>
      <c r="O124" s="17"/>
    </row>
    <row r="125" spans="1:15" x14ac:dyDescent="0.45">
      <c r="A125" s="7" t="s">
        <v>112</v>
      </c>
      <c r="B125" s="9">
        <v>425</v>
      </c>
      <c r="C125" s="9">
        <v>4325</v>
      </c>
      <c r="D125" s="9">
        <v>425</v>
      </c>
      <c r="E125" s="9">
        <v>425</v>
      </c>
      <c r="F125" s="9">
        <v>425</v>
      </c>
      <c r="G125" s="9">
        <v>425</v>
      </c>
      <c r="H125" s="9">
        <v>425</v>
      </c>
      <c r="I125" s="9">
        <v>425</v>
      </c>
      <c r="J125" s="9">
        <v>425</v>
      </c>
      <c r="K125" s="9">
        <v>443.48</v>
      </c>
      <c r="L125" s="9">
        <v>585.94000000000005</v>
      </c>
      <c r="M125" s="9">
        <v>425</v>
      </c>
      <c r="N125" s="16">
        <v>9179.42</v>
      </c>
      <c r="O125" s="17"/>
    </row>
    <row r="126" spans="1:15" x14ac:dyDescent="0.45">
      <c r="A126" s="7" t="s">
        <v>113</v>
      </c>
      <c r="B126" s="9">
        <v>0</v>
      </c>
      <c r="C126" s="9">
        <v>0</v>
      </c>
      <c r="D126" s="9">
        <v>140</v>
      </c>
      <c r="E126" s="9">
        <v>0</v>
      </c>
      <c r="F126" s="9">
        <v>0</v>
      </c>
      <c r="G126" s="9">
        <v>140</v>
      </c>
      <c r="H126" s="9">
        <v>0</v>
      </c>
      <c r="I126" s="9">
        <v>0</v>
      </c>
      <c r="J126" s="9">
        <v>0</v>
      </c>
      <c r="K126" s="9">
        <v>140</v>
      </c>
      <c r="L126" s="9">
        <v>0</v>
      </c>
      <c r="M126" s="9">
        <v>314.97000000000003</v>
      </c>
      <c r="N126" s="16">
        <v>734.97</v>
      </c>
      <c r="O126" s="17"/>
    </row>
    <row r="127" spans="1:15" x14ac:dyDescent="0.45">
      <c r="A127" s="7" t="s">
        <v>114</v>
      </c>
      <c r="B127" s="9">
        <v>0</v>
      </c>
      <c r="C127" s="9">
        <v>564.66</v>
      </c>
      <c r="D127" s="9">
        <v>0</v>
      </c>
      <c r="E127" s="9">
        <v>0</v>
      </c>
      <c r="F127" s="9">
        <v>0</v>
      </c>
      <c r="G127" s="9">
        <v>65.3</v>
      </c>
      <c r="H127" s="9">
        <v>148.22999999999999</v>
      </c>
      <c r="I127" s="9">
        <v>3714.66</v>
      </c>
      <c r="J127" s="9">
        <v>339.17</v>
      </c>
      <c r="K127" s="9">
        <v>0</v>
      </c>
      <c r="L127" s="9">
        <v>781.04</v>
      </c>
      <c r="M127" s="9">
        <v>397.95</v>
      </c>
      <c r="N127" s="16">
        <v>6011.01</v>
      </c>
      <c r="O127" s="17"/>
    </row>
    <row r="128" spans="1:15" x14ac:dyDescent="0.45">
      <c r="A128" s="7" t="s">
        <v>115</v>
      </c>
      <c r="B128" s="9">
        <v>0</v>
      </c>
      <c r="C128" s="9">
        <v>0</v>
      </c>
      <c r="D128" s="9">
        <v>0</v>
      </c>
      <c r="E128" s="9">
        <v>1843.46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1747.41</v>
      </c>
      <c r="M128" s="9">
        <v>0</v>
      </c>
      <c r="N128" s="16">
        <v>3590.87</v>
      </c>
      <c r="O128" s="17"/>
    </row>
    <row r="129" spans="1:15" x14ac:dyDescent="0.45">
      <c r="A129" s="7" t="s">
        <v>116</v>
      </c>
      <c r="B129" s="9">
        <v>294.48</v>
      </c>
      <c r="C129" s="9">
        <v>115.16</v>
      </c>
      <c r="D129" s="9">
        <v>1103.94</v>
      </c>
      <c r="E129" s="9">
        <v>117.7</v>
      </c>
      <c r="F129" s="9">
        <v>331.22</v>
      </c>
      <c r="G129" s="9">
        <v>85.92</v>
      </c>
      <c r="H129" s="9">
        <v>55.42</v>
      </c>
      <c r="I129" s="9">
        <v>95</v>
      </c>
      <c r="J129" s="9">
        <v>48.21</v>
      </c>
      <c r="K129" s="9">
        <v>0</v>
      </c>
      <c r="L129" s="9">
        <v>0</v>
      </c>
      <c r="M129" s="9">
        <v>0</v>
      </c>
      <c r="N129" s="16">
        <v>2247.0500000000002</v>
      </c>
      <c r="O129" s="17"/>
    </row>
    <row r="130" spans="1:15" x14ac:dyDescent="0.45">
      <c r="A130" s="7" t="s">
        <v>117</v>
      </c>
      <c r="B130" s="9">
        <v>120.88</v>
      </c>
      <c r="C130" s="9">
        <v>0</v>
      </c>
      <c r="D130" s="9">
        <v>3615</v>
      </c>
      <c r="E130" s="9">
        <v>650</v>
      </c>
      <c r="F130" s="9">
        <v>67.94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16">
        <v>4453.82</v>
      </c>
      <c r="O130" s="17"/>
    </row>
    <row r="131" spans="1:15" x14ac:dyDescent="0.45">
      <c r="A131" s="7" t="s">
        <v>118</v>
      </c>
      <c r="B131" s="9">
        <v>526.14</v>
      </c>
      <c r="C131" s="9">
        <v>0</v>
      </c>
      <c r="D131" s="9">
        <v>0</v>
      </c>
      <c r="E131" s="9">
        <v>0</v>
      </c>
      <c r="F131" s="9">
        <v>0</v>
      </c>
      <c r="G131" s="9">
        <v>668.24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16">
        <v>1194.3800000000001</v>
      </c>
      <c r="O131" s="17"/>
    </row>
    <row r="132" spans="1:15" x14ac:dyDescent="0.45">
      <c r="A132" s="7" t="s">
        <v>119</v>
      </c>
      <c r="B132" s="9">
        <v>0</v>
      </c>
      <c r="C132" s="9">
        <v>912.6</v>
      </c>
      <c r="D132" s="9">
        <v>1043.28</v>
      </c>
      <c r="E132" s="9">
        <v>890.4</v>
      </c>
      <c r="F132" s="9">
        <v>2216.12</v>
      </c>
      <c r="G132" s="9">
        <v>0</v>
      </c>
      <c r="H132" s="9">
        <v>1737.66</v>
      </c>
      <c r="I132" s="9">
        <v>0</v>
      </c>
      <c r="J132" s="9">
        <v>0</v>
      </c>
      <c r="K132" s="9">
        <v>0</v>
      </c>
      <c r="L132" s="9">
        <v>1043.26</v>
      </c>
      <c r="M132" s="9">
        <v>0</v>
      </c>
      <c r="N132" s="16">
        <v>7843.32</v>
      </c>
      <c r="O132" s="17"/>
    </row>
    <row r="133" spans="1:15" x14ac:dyDescent="0.45">
      <c r="A133" s="7" t="s">
        <v>120</v>
      </c>
      <c r="B133" s="9">
        <v>1041.83</v>
      </c>
      <c r="C133" s="9">
        <v>0</v>
      </c>
      <c r="D133" s="9">
        <v>359.38</v>
      </c>
      <c r="E133" s="9">
        <v>1283.1199999999999</v>
      </c>
      <c r="F133" s="9">
        <v>1137.56</v>
      </c>
      <c r="G133" s="9">
        <v>1151.5</v>
      </c>
      <c r="H133" s="9">
        <v>209.08</v>
      </c>
      <c r="I133" s="9">
        <v>1701.37</v>
      </c>
      <c r="J133" s="9">
        <v>3363.16</v>
      </c>
      <c r="K133" s="9">
        <v>167.07</v>
      </c>
      <c r="L133" s="9">
        <v>0</v>
      </c>
      <c r="M133" s="9">
        <v>34.799999999999997</v>
      </c>
      <c r="N133" s="16">
        <v>10448.870000000001</v>
      </c>
      <c r="O133" s="17"/>
    </row>
    <row r="134" spans="1:15" x14ac:dyDescent="0.45">
      <c r="A134" s="7" t="s">
        <v>121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425</v>
      </c>
      <c r="I134" s="9">
        <v>0</v>
      </c>
      <c r="J134" s="9">
        <v>0</v>
      </c>
      <c r="K134" s="9">
        <v>0</v>
      </c>
      <c r="L134" s="9">
        <v>200</v>
      </c>
      <c r="M134" s="9">
        <v>0</v>
      </c>
      <c r="N134" s="16">
        <v>625</v>
      </c>
      <c r="O134" s="17"/>
    </row>
    <row r="135" spans="1:15" x14ac:dyDescent="0.45">
      <c r="A135" s="7" t="s">
        <v>122</v>
      </c>
      <c r="B135" s="9">
        <v>248.14</v>
      </c>
      <c r="C135" s="9">
        <v>36.94</v>
      </c>
      <c r="D135" s="9">
        <v>153.5</v>
      </c>
      <c r="E135" s="9">
        <v>388.18</v>
      </c>
      <c r="F135" s="9">
        <v>224.88</v>
      </c>
      <c r="G135" s="9">
        <v>229.4</v>
      </c>
      <c r="H135" s="9">
        <v>210.22</v>
      </c>
      <c r="I135" s="9">
        <v>30.99</v>
      </c>
      <c r="J135" s="9">
        <v>42.6</v>
      </c>
      <c r="K135" s="9">
        <v>0</v>
      </c>
      <c r="L135" s="9">
        <v>0</v>
      </c>
      <c r="M135" s="9">
        <v>0</v>
      </c>
      <c r="N135" s="16">
        <v>1564.85</v>
      </c>
      <c r="O135" s="17"/>
    </row>
    <row r="136" spans="1:15" x14ac:dyDescent="0.45">
      <c r="A136" s="7" t="s">
        <v>123</v>
      </c>
      <c r="B136" s="9">
        <v>528.58000000000004</v>
      </c>
      <c r="C136" s="9">
        <v>4.87</v>
      </c>
      <c r="D136" s="9">
        <v>321.94</v>
      </c>
      <c r="E136" s="9">
        <v>744.42</v>
      </c>
      <c r="F136" s="9">
        <v>258.45</v>
      </c>
      <c r="G136" s="9">
        <v>312.55</v>
      </c>
      <c r="H136" s="9">
        <v>281.07</v>
      </c>
      <c r="I136" s="9">
        <v>283.24</v>
      </c>
      <c r="J136" s="9">
        <v>475.35</v>
      </c>
      <c r="K136" s="9">
        <v>114.71</v>
      </c>
      <c r="L136" s="9">
        <v>113.2</v>
      </c>
      <c r="M136" s="9">
        <v>57.66</v>
      </c>
      <c r="N136" s="16">
        <v>3496.04</v>
      </c>
      <c r="O136" s="17"/>
    </row>
    <row r="137" spans="1:15" x14ac:dyDescent="0.45">
      <c r="A137" s="7" t="s">
        <v>124</v>
      </c>
      <c r="B137" s="9">
        <v>0</v>
      </c>
      <c r="C137" s="9">
        <v>0</v>
      </c>
      <c r="D137" s="9">
        <v>22.8</v>
      </c>
      <c r="E137" s="9">
        <v>127.24</v>
      </c>
      <c r="F137" s="9">
        <v>68.349999999999994</v>
      </c>
      <c r="G137" s="9">
        <v>19.53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16">
        <v>237.92</v>
      </c>
      <c r="O137" s="17"/>
    </row>
    <row r="138" spans="1:15" x14ac:dyDescent="0.45">
      <c r="A138" s="7" t="s">
        <v>125</v>
      </c>
      <c r="B138" s="9">
        <v>0</v>
      </c>
      <c r="C138" s="9">
        <v>0</v>
      </c>
      <c r="D138" s="9">
        <v>132.75</v>
      </c>
      <c r="E138" s="9">
        <v>2692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5641.69</v>
      </c>
      <c r="N138" s="16">
        <v>8466.44</v>
      </c>
      <c r="O138" s="17"/>
    </row>
    <row r="139" spans="1:15" x14ac:dyDescent="0.45">
      <c r="A139" s="7" t="s">
        <v>126</v>
      </c>
      <c r="B139" s="9">
        <v>2047.96</v>
      </c>
      <c r="C139" s="9">
        <v>2047.96</v>
      </c>
      <c r="D139" s="9">
        <v>2047.96</v>
      </c>
      <c r="E139" s="9">
        <v>2047.96</v>
      </c>
      <c r="F139" s="9">
        <v>2047.96</v>
      </c>
      <c r="G139" s="9">
        <v>2047.96</v>
      </c>
      <c r="H139" s="9">
        <v>2047.96</v>
      </c>
      <c r="I139" s="9">
        <v>2047.96</v>
      </c>
      <c r="J139" s="9">
        <v>2047.96</v>
      </c>
      <c r="K139" s="9">
        <v>2047.96</v>
      </c>
      <c r="L139" s="9">
        <v>2047.96</v>
      </c>
      <c r="M139" s="9">
        <v>2047.96</v>
      </c>
      <c r="N139" s="16">
        <v>24575.52</v>
      </c>
      <c r="O139" s="17"/>
    </row>
    <row r="140" spans="1:15" x14ac:dyDescent="0.45">
      <c r="A140" s="7" t="s">
        <v>127</v>
      </c>
      <c r="B140" s="9">
        <v>0</v>
      </c>
      <c r="C140" s="9">
        <v>0</v>
      </c>
      <c r="D140" s="9">
        <v>153.41999999999999</v>
      </c>
      <c r="E140" s="9">
        <v>119.69</v>
      </c>
      <c r="F140" s="9">
        <v>0</v>
      </c>
      <c r="G140" s="9">
        <v>0</v>
      </c>
      <c r="H140" s="9">
        <v>0</v>
      </c>
      <c r="I140" s="9">
        <v>16.190000000000001</v>
      </c>
      <c r="J140" s="9">
        <v>0</v>
      </c>
      <c r="K140" s="9">
        <v>539.29</v>
      </c>
      <c r="L140" s="9">
        <v>365.4</v>
      </c>
      <c r="M140" s="9">
        <v>0</v>
      </c>
      <c r="N140" s="16">
        <v>1193.99</v>
      </c>
      <c r="O140" s="17"/>
    </row>
    <row r="141" spans="1:15" x14ac:dyDescent="0.45">
      <c r="A141" s="7" t="s">
        <v>128</v>
      </c>
      <c r="B141" s="9">
        <v>0</v>
      </c>
      <c r="C141" s="9">
        <v>108.21</v>
      </c>
      <c r="D141" s="9">
        <v>0</v>
      </c>
      <c r="E141" s="9">
        <v>17.61</v>
      </c>
      <c r="F141" s="9">
        <v>448.3</v>
      </c>
      <c r="G141" s="9">
        <v>233.54</v>
      </c>
      <c r="H141" s="9">
        <v>0</v>
      </c>
      <c r="I141" s="9">
        <v>0</v>
      </c>
      <c r="J141" s="9">
        <v>0</v>
      </c>
      <c r="K141" s="9">
        <v>114.77</v>
      </c>
      <c r="L141" s="9">
        <v>5.87</v>
      </c>
      <c r="M141" s="9">
        <v>114.24</v>
      </c>
      <c r="N141" s="16">
        <v>1042.54</v>
      </c>
      <c r="O141" s="17"/>
    </row>
    <row r="142" spans="1:15" x14ac:dyDescent="0.45">
      <c r="A142" s="7" t="s">
        <v>129</v>
      </c>
      <c r="B142" s="9">
        <v>117.56</v>
      </c>
      <c r="C142" s="9">
        <v>119.7</v>
      </c>
      <c r="D142" s="9">
        <v>73.67</v>
      </c>
      <c r="E142" s="9">
        <v>137.15</v>
      </c>
      <c r="F142" s="9">
        <v>60.93</v>
      </c>
      <c r="G142" s="9">
        <v>307.33</v>
      </c>
      <c r="H142" s="9">
        <v>30.35</v>
      </c>
      <c r="I142" s="9">
        <v>46.26</v>
      </c>
      <c r="J142" s="9">
        <v>0</v>
      </c>
      <c r="K142" s="9">
        <v>150.11000000000001</v>
      </c>
      <c r="L142" s="9">
        <v>0</v>
      </c>
      <c r="M142" s="9">
        <v>321.89</v>
      </c>
      <c r="N142" s="16">
        <v>1364.95</v>
      </c>
      <c r="O142" s="17"/>
    </row>
    <row r="143" spans="1:15" x14ac:dyDescent="0.45">
      <c r="A143" s="7" t="s">
        <v>130</v>
      </c>
      <c r="B143" s="9">
        <v>30.64</v>
      </c>
      <c r="C143" s="9">
        <v>16.29</v>
      </c>
      <c r="D143" s="9">
        <v>193.47</v>
      </c>
      <c r="E143" s="9">
        <v>32.07</v>
      </c>
      <c r="F143" s="9">
        <v>302.63</v>
      </c>
      <c r="G143" s="9">
        <v>287.49</v>
      </c>
      <c r="H143" s="9">
        <v>53.87</v>
      </c>
      <c r="I143" s="9">
        <v>102.85</v>
      </c>
      <c r="J143" s="9">
        <v>40.25</v>
      </c>
      <c r="K143" s="9">
        <v>993.56</v>
      </c>
      <c r="L143" s="9">
        <v>673.75</v>
      </c>
      <c r="M143" s="9">
        <v>1306.32</v>
      </c>
      <c r="N143" s="16">
        <v>4033.19</v>
      </c>
      <c r="O143" s="17"/>
    </row>
    <row r="144" spans="1:15" x14ac:dyDescent="0.45">
      <c r="A144" s="7" t="s">
        <v>131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16">
        <v>0</v>
      </c>
      <c r="O144" s="17"/>
    </row>
    <row r="145" spans="1:15" x14ac:dyDescent="0.45">
      <c r="A145" s="7" t="s">
        <v>132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16">
        <v>0</v>
      </c>
      <c r="O145" s="17"/>
    </row>
    <row r="146" spans="1:15" x14ac:dyDescent="0.45">
      <c r="A146" s="7" t="s">
        <v>133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16">
        <v>0</v>
      </c>
      <c r="O146" s="17"/>
    </row>
    <row r="147" spans="1:15" x14ac:dyDescent="0.45">
      <c r="A147" s="7" t="s">
        <v>134</v>
      </c>
      <c r="B147" s="9">
        <v>4.88</v>
      </c>
      <c r="C147" s="9">
        <v>241.24</v>
      </c>
      <c r="D147" s="9">
        <v>25.25</v>
      </c>
      <c r="E147" s="9">
        <v>267.94</v>
      </c>
      <c r="F147" s="9">
        <v>374.75</v>
      </c>
      <c r="G147" s="9">
        <v>246.59</v>
      </c>
      <c r="H147" s="9">
        <v>0</v>
      </c>
      <c r="I147" s="9">
        <v>760.44</v>
      </c>
      <c r="J147" s="9">
        <v>302.74</v>
      </c>
      <c r="K147" s="9">
        <v>82.19</v>
      </c>
      <c r="L147" s="9">
        <v>469.83</v>
      </c>
      <c r="M147" s="9">
        <v>247.19</v>
      </c>
      <c r="N147" s="16">
        <v>3023.04</v>
      </c>
      <c r="O147" s="17"/>
    </row>
    <row r="148" spans="1:15" x14ac:dyDescent="0.45">
      <c r="A148" s="7" t="s">
        <v>135</v>
      </c>
      <c r="B148" s="9">
        <v>775</v>
      </c>
      <c r="C148" s="9">
        <v>1660</v>
      </c>
      <c r="D148" s="9">
        <v>1025</v>
      </c>
      <c r="E148" s="9">
        <v>860</v>
      </c>
      <c r="F148" s="9">
        <v>2935</v>
      </c>
      <c r="G148" s="9">
        <v>1500</v>
      </c>
      <c r="H148" s="9">
        <v>3610</v>
      </c>
      <c r="I148" s="9">
        <v>775</v>
      </c>
      <c r="J148" s="9">
        <v>775</v>
      </c>
      <c r="K148" s="9">
        <v>1800</v>
      </c>
      <c r="L148" s="9">
        <v>800</v>
      </c>
      <c r="M148" s="9">
        <v>1300</v>
      </c>
      <c r="N148" s="16">
        <v>17815</v>
      </c>
      <c r="O148" s="17"/>
    </row>
    <row r="149" spans="1:15" x14ac:dyDescent="0.45">
      <c r="A149" s="7" t="s">
        <v>136</v>
      </c>
      <c r="B149" s="9">
        <v>0</v>
      </c>
      <c r="C149" s="9">
        <v>0</v>
      </c>
      <c r="D149" s="9">
        <v>0</v>
      </c>
      <c r="E149" s="9">
        <v>21.71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16">
        <v>21.71</v>
      </c>
      <c r="O149" s="17"/>
    </row>
    <row r="150" spans="1:15" x14ac:dyDescent="0.45">
      <c r="A150" s="7" t="s">
        <v>137</v>
      </c>
      <c r="B150" s="9">
        <v>0</v>
      </c>
      <c r="C150" s="9">
        <v>0</v>
      </c>
      <c r="D150" s="9">
        <v>461.37</v>
      </c>
      <c r="E150" s="9">
        <v>1667.12</v>
      </c>
      <c r="F150" s="9">
        <v>0</v>
      </c>
      <c r="G150" s="9">
        <v>0</v>
      </c>
      <c r="H150" s="9">
        <v>790.82</v>
      </c>
      <c r="I150" s="9">
        <v>934.25</v>
      </c>
      <c r="J150" s="9">
        <v>0</v>
      </c>
      <c r="K150" s="9">
        <v>0</v>
      </c>
      <c r="L150" s="9">
        <v>600</v>
      </c>
      <c r="M150" s="9">
        <v>0</v>
      </c>
      <c r="N150" s="16">
        <v>4453.5600000000004</v>
      </c>
      <c r="O150" s="17"/>
    </row>
    <row r="151" spans="1:15" x14ac:dyDescent="0.45">
      <c r="A151" s="7" t="s">
        <v>138</v>
      </c>
      <c r="B151" s="9">
        <v>0</v>
      </c>
      <c r="C151" s="9">
        <v>118.7</v>
      </c>
      <c r="D151" s="9">
        <v>855.85</v>
      </c>
      <c r="E151" s="9">
        <v>1741.19</v>
      </c>
      <c r="F151" s="9">
        <v>227.02</v>
      </c>
      <c r="G151" s="9">
        <v>382.64</v>
      </c>
      <c r="H151" s="9">
        <v>315.89999999999998</v>
      </c>
      <c r="I151" s="9">
        <v>114.67</v>
      </c>
      <c r="J151" s="9">
        <v>942.02</v>
      </c>
      <c r="K151" s="9">
        <v>43.54</v>
      </c>
      <c r="L151" s="9">
        <v>263.81</v>
      </c>
      <c r="M151" s="9">
        <v>248.05</v>
      </c>
      <c r="N151" s="16">
        <v>5253.39</v>
      </c>
      <c r="O151" s="17"/>
    </row>
    <row r="152" spans="1:15" x14ac:dyDescent="0.45">
      <c r="A152" s="7" t="s">
        <v>139</v>
      </c>
      <c r="B152" s="9">
        <v>417.82</v>
      </c>
      <c r="C152" s="9">
        <v>252.61</v>
      </c>
      <c r="D152" s="9">
        <v>167.94</v>
      </c>
      <c r="E152" s="9">
        <v>489.79</v>
      </c>
      <c r="F152" s="9">
        <v>807.3</v>
      </c>
      <c r="G152" s="9">
        <v>809.67</v>
      </c>
      <c r="H152" s="9">
        <v>444.16</v>
      </c>
      <c r="I152" s="9">
        <v>24.9</v>
      </c>
      <c r="J152" s="9">
        <v>187.47</v>
      </c>
      <c r="K152" s="9">
        <v>933.22</v>
      </c>
      <c r="L152" s="9">
        <v>509.47</v>
      </c>
      <c r="M152" s="9">
        <v>790.67</v>
      </c>
      <c r="N152" s="16">
        <v>5835.02</v>
      </c>
      <c r="O152" s="17"/>
    </row>
    <row r="153" spans="1:15" x14ac:dyDescent="0.45">
      <c r="A153" s="7" t="s">
        <v>140</v>
      </c>
      <c r="B153" s="9">
        <v>0</v>
      </c>
      <c r="C153" s="9">
        <v>0</v>
      </c>
      <c r="D153" s="9">
        <v>0</v>
      </c>
      <c r="E153" s="9">
        <v>668.66</v>
      </c>
      <c r="F153" s="9">
        <v>1155.26</v>
      </c>
      <c r="G153" s="9">
        <v>714.54</v>
      </c>
      <c r="H153" s="9">
        <v>1396.52</v>
      </c>
      <c r="I153" s="9">
        <v>0</v>
      </c>
      <c r="J153" s="9">
        <v>672.37</v>
      </c>
      <c r="K153" s="9">
        <v>1521.42</v>
      </c>
      <c r="L153" s="9">
        <v>0</v>
      </c>
      <c r="M153" s="9">
        <v>0</v>
      </c>
      <c r="N153" s="16">
        <v>6128.77</v>
      </c>
      <c r="O153" s="17"/>
    </row>
    <row r="154" spans="1:15" x14ac:dyDescent="0.45">
      <c r="A154" s="7" t="s">
        <v>141</v>
      </c>
      <c r="B154" s="9">
        <v>0</v>
      </c>
      <c r="C154" s="9">
        <v>0</v>
      </c>
      <c r="D154" s="9">
        <v>0</v>
      </c>
      <c r="E154" s="9">
        <v>329.42</v>
      </c>
      <c r="F154" s="9">
        <v>70</v>
      </c>
      <c r="G154" s="9">
        <v>122.59</v>
      </c>
      <c r="H154" s="9">
        <v>69.61</v>
      </c>
      <c r="I154" s="9">
        <v>0</v>
      </c>
      <c r="J154" s="9">
        <v>0</v>
      </c>
      <c r="K154" s="9">
        <v>829.03</v>
      </c>
      <c r="L154" s="9">
        <v>0</v>
      </c>
      <c r="M154" s="9">
        <v>10.88</v>
      </c>
      <c r="N154" s="16">
        <v>1431.53</v>
      </c>
      <c r="O154" s="17"/>
    </row>
    <row r="155" spans="1:15" x14ac:dyDescent="0.45">
      <c r="A155" s="7" t="s">
        <v>142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1544.13</v>
      </c>
      <c r="I155" s="9">
        <v>0</v>
      </c>
      <c r="J155" s="9">
        <v>0</v>
      </c>
      <c r="K155" s="9">
        <v>0</v>
      </c>
      <c r="L155" s="9">
        <v>986.72</v>
      </c>
      <c r="M155" s="9">
        <v>0</v>
      </c>
      <c r="N155" s="16">
        <v>2530.85</v>
      </c>
      <c r="O155" s="17"/>
    </row>
    <row r="156" spans="1:15" x14ac:dyDescent="0.45">
      <c r="A156" s="7" t="s">
        <v>143</v>
      </c>
      <c r="B156" s="9">
        <v>4760</v>
      </c>
      <c r="C156" s="9">
        <v>0</v>
      </c>
      <c r="D156" s="9">
        <v>2895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3570</v>
      </c>
      <c r="K156" s="9">
        <v>0</v>
      </c>
      <c r="L156" s="9">
        <v>700</v>
      </c>
      <c r="M156" s="9">
        <v>0</v>
      </c>
      <c r="N156" s="16">
        <v>11925</v>
      </c>
      <c r="O156" s="17"/>
    </row>
    <row r="157" spans="1:15" x14ac:dyDescent="0.45">
      <c r="A157" s="7" t="s">
        <v>144</v>
      </c>
      <c r="B157" s="9">
        <v>0</v>
      </c>
      <c r="C157" s="9">
        <v>0</v>
      </c>
      <c r="D157" s="9">
        <v>0</v>
      </c>
      <c r="E157" s="9">
        <v>0</v>
      </c>
      <c r="F157" s="9">
        <v>4375.21</v>
      </c>
      <c r="G157" s="9">
        <v>0</v>
      </c>
      <c r="H157" s="9">
        <v>325.79000000000002</v>
      </c>
      <c r="I157" s="9">
        <v>0</v>
      </c>
      <c r="J157" s="9">
        <v>392.5</v>
      </c>
      <c r="K157" s="9">
        <v>0</v>
      </c>
      <c r="L157" s="9">
        <v>0</v>
      </c>
      <c r="M157" s="9">
        <v>0</v>
      </c>
      <c r="N157" s="16">
        <v>5093.5</v>
      </c>
      <c r="O157" s="17"/>
    </row>
    <row r="158" spans="1:15" x14ac:dyDescent="0.45">
      <c r="A158" s="7" t="s">
        <v>145</v>
      </c>
      <c r="B158" s="9">
        <v>516.45000000000005</v>
      </c>
      <c r="C158" s="9">
        <v>485.7</v>
      </c>
      <c r="D158" s="9">
        <v>54.43</v>
      </c>
      <c r="E158" s="9">
        <v>701.3</v>
      </c>
      <c r="F158" s="9">
        <v>119.72</v>
      </c>
      <c r="G158" s="9">
        <v>0</v>
      </c>
      <c r="H158" s="9">
        <v>10.86</v>
      </c>
      <c r="I158" s="9">
        <v>0</v>
      </c>
      <c r="J158" s="9">
        <v>0</v>
      </c>
      <c r="K158" s="9">
        <v>23.93</v>
      </c>
      <c r="L158" s="9">
        <v>0</v>
      </c>
      <c r="M158" s="9">
        <v>0</v>
      </c>
      <c r="N158" s="16">
        <v>1912.39</v>
      </c>
      <c r="O158" s="17"/>
    </row>
    <row r="159" spans="1:15" x14ac:dyDescent="0.45">
      <c r="A159" s="7" t="s">
        <v>146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482.04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16">
        <v>482.04</v>
      </c>
      <c r="O159" s="17"/>
    </row>
    <row r="160" spans="1:15" x14ac:dyDescent="0.45">
      <c r="A160" s="7" t="s">
        <v>147</v>
      </c>
      <c r="B160" s="9">
        <v>150</v>
      </c>
      <c r="C160" s="9">
        <v>0</v>
      </c>
      <c r="D160" s="9">
        <v>3090</v>
      </c>
      <c r="E160" s="9">
        <v>375</v>
      </c>
      <c r="F160" s="9">
        <v>0</v>
      </c>
      <c r="G160" s="9">
        <v>875</v>
      </c>
      <c r="H160" s="9">
        <v>1560</v>
      </c>
      <c r="I160" s="9">
        <v>2075</v>
      </c>
      <c r="J160" s="9">
        <v>315</v>
      </c>
      <c r="K160" s="9">
        <v>1185</v>
      </c>
      <c r="L160" s="9">
        <v>635</v>
      </c>
      <c r="M160" s="9">
        <v>1725</v>
      </c>
      <c r="N160" s="16">
        <v>11985</v>
      </c>
      <c r="O160" s="17"/>
    </row>
    <row r="161" spans="1:15" x14ac:dyDescent="0.45">
      <c r="A161" s="7" t="s">
        <v>148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16">
        <v>0</v>
      </c>
      <c r="O161" s="17"/>
    </row>
    <row r="162" spans="1:15" x14ac:dyDescent="0.45">
      <c r="A162" s="7" t="s">
        <v>149</v>
      </c>
      <c r="B162" s="9">
        <v>0</v>
      </c>
      <c r="C162" s="9">
        <v>0</v>
      </c>
      <c r="D162" s="9">
        <v>5360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-5360</v>
      </c>
      <c r="M162" s="9">
        <v>0</v>
      </c>
      <c r="N162" s="16">
        <v>0</v>
      </c>
      <c r="O162" s="17"/>
    </row>
    <row r="163" spans="1:15" x14ac:dyDescent="0.45">
      <c r="A163" s="7" t="s">
        <v>150</v>
      </c>
      <c r="B163" s="9">
        <v>0</v>
      </c>
      <c r="C163" s="9">
        <v>0</v>
      </c>
      <c r="D163" s="9">
        <v>558.20000000000005</v>
      </c>
      <c r="E163" s="9">
        <v>0</v>
      </c>
      <c r="F163" s="9">
        <v>0</v>
      </c>
      <c r="G163" s="9">
        <v>744.87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16">
        <v>1303.07</v>
      </c>
      <c r="O163" s="17"/>
    </row>
    <row r="164" spans="1:15" x14ac:dyDescent="0.45">
      <c r="A164" s="7" t="s">
        <v>151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112.8</v>
      </c>
      <c r="J164" s="9">
        <v>0</v>
      </c>
      <c r="K164" s="9">
        <v>0</v>
      </c>
      <c r="L164" s="9">
        <v>1353.4</v>
      </c>
      <c r="M164" s="9">
        <v>0</v>
      </c>
      <c r="N164" s="16">
        <v>1466.2</v>
      </c>
      <c r="O164" s="17"/>
    </row>
    <row r="165" spans="1:15" x14ac:dyDescent="0.45">
      <c r="A165" s="7" t="s">
        <v>152</v>
      </c>
      <c r="B165" s="9">
        <v>13839</v>
      </c>
      <c r="C165" s="9">
        <v>13369.7</v>
      </c>
      <c r="D165" s="9">
        <v>41961.23</v>
      </c>
      <c r="E165" s="9">
        <v>22193.200000000001</v>
      </c>
      <c r="F165" s="9">
        <v>23237.26</v>
      </c>
      <c r="G165" s="9">
        <v>15617.88</v>
      </c>
      <c r="H165" s="9">
        <v>20084.689999999999</v>
      </c>
      <c r="I165" s="9">
        <v>16656.43</v>
      </c>
      <c r="J165" s="9">
        <v>19906.009999999998</v>
      </c>
      <c r="K165" s="9">
        <v>15921.17</v>
      </c>
      <c r="L165" s="9">
        <v>11650.98</v>
      </c>
      <c r="M165" s="9">
        <v>18669.689999999999</v>
      </c>
      <c r="N165" s="16">
        <v>233107.24</v>
      </c>
      <c r="O165" s="17"/>
    </row>
    <row r="166" spans="1:15" x14ac:dyDescent="0.45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6"/>
      <c r="O166" s="17"/>
    </row>
    <row r="167" spans="1:15" x14ac:dyDescent="0.45">
      <c r="A167" s="7" t="s">
        <v>153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6"/>
      <c r="O167" s="17"/>
    </row>
    <row r="168" spans="1:15" x14ac:dyDescent="0.45">
      <c r="A168" s="7" t="s">
        <v>154</v>
      </c>
      <c r="B168" s="9">
        <v>2121.5700000000002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16">
        <v>2121.5700000000002</v>
      </c>
      <c r="O168" s="17"/>
    </row>
    <row r="169" spans="1:15" x14ac:dyDescent="0.45">
      <c r="A169" s="7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-794</v>
      </c>
      <c r="L169" s="9">
        <v>589536</v>
      </c>
      <c r="M169" s="9">
        <v>0</v>
      </c>
      <c r="N169" s="16">
        <v>588742</v>
      </c>
      <c r="O169" s="17"/>
    </row>
    <row r="170" spans="1:15" x14ac:dyDescent="0.45">
      <c r="A170" s="7" t="s">
        <v>156</v>
      </c>
      <c r="B170" s="9">
        <v>0</v>
      </c>
      <c r="C170" s="9">
        <v>0</v>
      </c>
      <c r="D170" s="9">
        <v>0</v>
      </c>
      <c r="E170" s="9">
        <v>0</v>
      </c>
      <c r="F170" s="9">
        <v>211192.09</v>
      </c>
      <c r="G170" s="9">
        <v>7450.57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16">
        <v>218642.66</v>
      </c>
      <c r="O170" s="17"/>
    </row>
    <row r="171" spans="1:15" x14ac:dyDescent="0.45">
      <c r="A171" s="7" t="s">
        <v>157</v>
      </c>
      <c r="B171" s="9">
        <v>2121.5700000000002</v>
      </c>
      <c r="C171" s="9">
        <v>0</v>
      </c>
      <c r="D171" s="9">
        <v>0</v>
      </c>
      <c r="E171" s="9">
        <v>0</v>
      </c>
      <c r="F171" s="9">
        <v>211192.09</v>
      </c>
      <c r="G171" s="9">
        <v>7450.57</v>
      </c>
      <c r="H171" s="9">
        <v>0</v>
      </c>
      <c r="I171" s="9">
        <v>0</v>
      </c>
      <c r="J171" s="9">
        <v>0</v>
      </c>
      <c r="K171" s="9">
        <v>-794</v>
      </c>
      <c r="L171" s="9">
        <v>589536</v>
      </c>
      <c r="M171" s="9">
        <v>0</v>
      </c>
      <c r="N171" s="16">
        <v>809506.23</v>
      </c>
      <c r="O171" s="17"/>
    </row>
    <row r="172" spans="1:15" x14ac:dyDescent="0.45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6"/>
      <c r="O172" s="17"/>
    </row>
    <row r="173" spans="1:15" x14ac:dyDescent="0.45">
      <c r="A173" s="7" t="s">
        <v>158</v>
      </c>
      <c r="B173" s="9">
        <v>100268.69</v>
      </c>
      <c r="C173" s="9">
        <v>98939.81</v>
      </c>
      <c r="D173" s="9">
        <v>128855.56</v>
      </c>
      <c r="E173" s="9">
        <v>118724.94</v>
      </c>
      <c r="F173" s="9">
        <v>322537.82</v>
      </c>
      <c r="G173" s="9">
        <v>111651.35</v>
      </c>
      <c r="H173" s="9">
        <v>121542.86</v>
      </c>
      <c r="I173" s="9">
        <v>103748.56</v>
      </c>
      <c r="J173" s="9">
        <v>105325.5</v>
      </c>
      <c r="K173" s="9">
        <v>104552.6</v>
      </c>
      <c r="L173" s="9">
        <v>694548.09</v>
      </c>
      <c r="M173" s="9">
        <v>107632.16</v>
      </c>
      <c r="N173" s="16">
        <v>2118327.94</v>
      </c>
      <c r="O173" s="17"/>
    </row>
    <row r="174" spans="1:15" x14ac:dyDescent="0.45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6"/>
      <c r="O174" s="17"/>
    </row>
    <row r="175" spans="1:15" x14ac:dyDescent="0.45">
      <c r="A175" s="7" t="s">
        <v>159</v>
      </c>
      <c r="B175" s="9">
        <v>209343.79</v>
      </c>
      <c r="C175" s="9">
        <v>223098.07</v>
      </c>
      <c r="D175" s="9">
        <v>186731.01</v>
      </c>
      <c r="E175" s="9">
        <v>197189.43</v>
      </c>
      <c r="F175" s="9">
        <v>-12334.86</v>
      </c>
      <c r="G175" s="9">
        <v>199192.03</v>
      </c>
      <c r="H175" s="9">
        <v>192190.28</v>
      </c>
      <c r="I175" s="9">
        <v>207620.42</v>
      </c>
      <c r="J175" s="9">
        <v>211936</v>
      </c>
      <c r="K175" s="9">
        <v>210963.34</v>
      </c>
      <c r="L175" s="9">
        <v>-377074.02</v>
      </c>
      <c r="M175" s="9">
        <v>208564.57</v>
      </c>
      <c r="N175" s="16">
        <v>1657420.06</v>
      </c>
      <c r="O175" s="17"/>
    </row>
    <row r="176" spans="1:15" x14ac:dyDescent="0.45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6"/>
      <c r="O176" s="17"/>
    </row>
    <row r="177" spans="1:15" x14ac:dyDescent="0.45">
      <c r="A177" s="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6"/>
      <c r="O177" s="17"/>
    </row>
    <row r="178" spans="1:15" x14ac:dyDescent="0.45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6"/>
      <c r="O178" s="17"/>
    </row>
    <row r="179" spans="1:15" x14ac:dyDescent="0.45">
      <c r="A179" s="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6"/>
      <c r="O179" s="17"/>
    </row>
    <row r="180" spans="1:15" x14ac:dyDescent="0.45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6"/>
      <c r="O180" s="17"/>
    </row>
    <row r="181" spans="1:15" x14ac:dyDescent="0.45">
      <c r="A181" s="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6"/>
      <c r="O181" s="17"/>
    </row>
    <row r="182" spans="1:15" x14ac:dyDescent="0.45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6"/>
      <c r="O182" s="17"/>
    </row>
    <row r="183" spans="1:15" x14ac:dyDescent="0.45">
      <c r="A183" s="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6"/>
      <c r="O183" s="17"/>
    </row>
    <row r="184" spans="1:15" x14ac:dyDescent="0.45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6"/>
      <c r="O184" s="17"/>
    </row>
    <row r="185" spans="1:15" x14ac:dyDescent="0.45">
      <c r="A185" s="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6"/>
      <c r="O185" s="17"/>
    </row>
    <row r="186" spans="1:15" x14ac:dyDescent="0.45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6"/>
      <c r="O186" s="17"/>
    </row>
    <row r="187" spans="1:15" x14ac:dyDescent="0.45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6"/>
      <c r="O187" s="17"/>
    </row>
    <row r="188" spans="1:15" x14ac:dyDescent="0.45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6"/>
      <c r="O188" s="17"/>
    </row>
    <row r="189" spans="1:15" x14ac:dyDescent="0.45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6"/>
      <c r="O189" s="17"/>
    </row>
    <row r="190" spans="1:15" x14ac:dyDescent="0.45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6"/>
      <c r="O190" s="17"/>
    </row>
    <row r="191" spans="1:15" x14ac:dyDescent="0.45">
      <c r="A191" s="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6"/>
      <c r="O191" s="17"/>
    </row>
    <row r="192" spans="1:15" x14ac:dyDescent="0.45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6"/>
      <c r="O192" s="17"/>
    </row>
    <row r="193" spans="1:15" x14ac:dyDescent="0.45">
      <c r="A193" s="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6"/>
      <c r="O193" s="17"/>
    </row>
    <row r="194" spans="1:15" x14ac:dyDescent="0.45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6"/>
      <c r="O194" s="17"/>
    </row>
    <row r="195" spans="1:15" x14ac:dyDescent="0.45">
      <c r="A195" s="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6"/>
      <c r="O195" s="17"/>
    </row>
    <row r="196" spans="1:15" x14ac:dyDescent="0.45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6"/>
      <c r="O196" s="17"/>
    </row>
    <row r="197" spans="1:15" x14ac:dyDescent="0.45">
      <c r="A197" s="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6"/>
      <c r="O197" s="17"/>
    </row>
    <row r="198" spans="1:15" x14ac:dyDescent="0.45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6"/>
      <c r="O198" s="17"/>
    </row>
    <row r="199" spans="1:15" x14ac:dyDescent="0.45">
      <c r="A199" s="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6"/>
      <c r="O199" s="17"/>
    </row>
    <row r="200" spans="1:15" x14ac:dyDescent="0.45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6"/>
      <c r="O200" s="17"/>
    </row>
    <row r="201" spans="1:15" x14ac:dyDescent="0.45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6"/>
      <c r="O201" s="17"/>
    </row>
    <row r="202" spans="1:15" x14ac:dyDescent="0.45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6"/>
      <c r="O202" s="17"/>
    </row>
    <row r="203" spans="1:15" x14ac:dyDescent="0.45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6"/>
      <c r="O203" s="17"/>
    </row>
    <row r="204" spans="1:15" x14ac:dyDescent="0.45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6"/>
      <c r="O204" s="17"/>
    </row>
    <row r="205" spans="1:15" x14ac:dyDescent="0.45">
      <c r="A205" s="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6"/>
      <c r="O205" s="17"/>
    </row>
    <row r="206" spans="1:15" x14ac:dyDescent="0.45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6"/>
      <c r="O206" s="17"/>
    </row>
    <row r="207" spans="1:15" x14ac:dyDescent="0.45">
      <c r="A207" s="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6"/>
      <c r="O207" s="17"/>
    </row>
    <row r="208" spans="1:15" x14ac:dyDescent="0.45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6"/>
      <c r="O208" s="17"/>
    </row>
    <row r="209" spans="1:15" x14ac:dyDescent="0.45">
      <c r="A209" s="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6"/>
      <c r="O209" s="17"/>
    </row>
    <row r="210" spans="1:15" x14ac:dyDescent="0.45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6"/>
      <c r="O210" s="17"/>
    </row>
    <row r="211" spans="1:15" x14ac:dyDescent="0.45">
      <c r="A211" s="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6"/>
      <c r="O211" s="17"/>
    </row>
    <row r="212" spans="1:15" x14ac:dyDescent="0.45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6"/>
      <c r="O212" s="17"/>
    </row>
    <row r="213" spans="1:15" x14ac:dyDescent="0.45">
      <c r="A213" s="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6"/>
      <c r="O213" s="17"/>
    </row>
    <row r="214" spans="1:15" x14ac:dyDescent="0.45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6"/>
      <c r="O214" s="17"/>
    </row>
    <row r="215" spans="1:15" x14ac:dyDescent="0.45">
      <c r="A215" s="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6"/>
      <c r="O215" s="17"/>
    </row>
    <row r="216" spans="1:15" x14ac:dyDescent="0.45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6"/>
      <c r="O216" s="17"/>
    </row>
    <row r="217" spans="1:15" x14ac:dyDescent="0.45">
      <c r="A217" s="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6"/>
      <c r="O217" s="17"/>
    </row>
    <row r="218" spans="1:15" x14ac:dyDescent="0.45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6"/>
      <c r="O218" s="17"/>
    </row>
    <row r="219" spans="1:15" x14ac:dyDescent="0.45">
      <c r="A219" s="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6"/>
      <c r="O219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a249163195ac5fae198636ba9b0eb9e8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3efd0486faa5540bcaaa8fe076e872c6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1F9F91-ACB5-4F76-8BDB-4A172DF05B40}">
  <ds:schemaRefs>
    <ds:schemaRef ds:uri="http://schemas.microsoft.com/office/2006/metadata/properties"/>
    <ds:schemaRef ds:uri="http://schemas.microsoft.com/office/infopath/2007/PartnerControls"/>
    <ds:schemaRef ds:uri="c292121a-b5e9-470c-89bd-bd6c5710d51b"/>
    <ds:schemaRef ds:uri="da694074-9381-4a8e-b3d2-da397a8e5c5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32E9CFC-3CAA-46D2-AD0E-98E89B75E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694074-9381-4a8e-b3d2-da397a8e5c5b"/>
    <ds:schemaRef ds:uri="c292121a-b5e9-470c-89bd-bd6c5710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78CD09-7BFE-4917-A3F8-28977A399B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AXIM</dc:creator>
  <cp:keywords/>
  <dc:description/>
  <cp:lastModifiedBy>Arch M</cp:lastModifiedBy>
  <cp:revision/>
  <dcterms:created xsi:type="dcterms:W3CDTF">2025-02-25T14:21:58Z</dcterms:created>
  <dcterms:modified xsi:type="dcterms:W3CDTF">2025-12-14T23:38:06Z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  <property fmtid="{D5CDD505-2E9C-101B-9397-08002B2CF9AE}" pid="3" name="MediaServiceImageTags">
    <vt:lpwstr/>
  </property>
</Properties>
</file>